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Виконання базових заходів" sheetId="1" r:id="rId1"/>
    <sheet name="Виконання вимог законодавства"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 i="2" l="1"/>
  <c r="H18" i="2"/>
  <c r="H17" i="2"/>
  <c r="H16" i="2"/>
  <c r="H15" i="2"/>
  <c r="H14" i="2"/>
  <c r="H13" i="2"/>
  <c r="H12" i="2"/>
  <c r="H11" i="2"/>
  <c r="H10" i="2"/>
  <c r="H9" i="2"/>
  <c r="H8" i="2"/>
  <c r="H7" i="2"/>
  <c r="H6" i="2"/>
  <c r="H5" i="2"/>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alcChain>
</file>

<file path=xl/sharedStrings.xml><?xml version="1.0" encoding="utf-8"?>
<sst xmlns="http://schemas.openxmlformats.org/spreadsheetml/2006/main" count="359" uniqueCount="271">
  <si>
    <t>№ з/п</t>
  </si>
  <si>
    <t>Назва категорії заходів кіберзахисту</t>
  </si>
  <si>
    <t>Назва  заходів кіберзахисту</t>
  </si>
  <si>
    <t>Критерій оцінювання</t>
  </si>
  <si>
    <t>Відповідь</t>
  </si>
  <si>
    <t>Результат заходу кіберзахисту</t>
  </si>
  <si>
    <t>Позитивно</t>
  </si>
  <si>
    <t>Частково</t>
  </si>
  <si>
    <t>Заплановано</t>
  </si>
  <si>
    <t>Негативно</t>
  </si>
  <si>
    <t>Не застосовується</t>
  </si>
  <si>
    <t>Організаційний контекст (GV.OC)</t>
  </si>
  <si>
    <t>GV.OC-01 Чи описано місію (мету функціонування) суб’єкта (наприклад, через бачення продуктів та послуг, які надаватиме суб’єкт, маркетинг та стратегії надання послуг), структуру та організаційні схеми забезпечення кібербезпеки для визначення ризиків кібербезпеки, які можуть перешкодити функціонуванню суб’єкта відповідно до його мети?</t>
  </si>
  <si>
    <t>GV.OC-02 Чи визначено підрозділи/посадові особи та їхні потреби/очікування від управління ризиками кібербезпеки (наприклад, очікування щодо підвищення ефективності контролю та управління посадових осіб суб’єкта, дотримання правил кібергігієни співробітниками, оптимізація структури та бюджету суб’єкта тощо)?</t>
  </si>
  <si>
    <t>GV.OC-03 Чи визначено процес відстеження та впровадження змін законодавства щодо кіберзахисту та захисту інформації (наприклад, щодо захисту персональних даних, захисту інформації в системах, хмарних обчислень, імплементації норм актів законодавства ЄС та НАТО у сфері кібербезпеки тощо)?</t>
  </si>
  <si>
    <t>GV.OC-04 Визначити та довести до відома співробітників ключові цілі, критичні послуги та спроможності суб’єкта</t>
  </si>
  <si>
    <t>GV.OC-04 Чи встановлено критерії для визначення критичних спроможностей для послуг, які надаються внутрішніми і зовнішніми заінтересованими сторонами?</t>
  </si>
  <si>
    <t>GV.OC-05 Визначити наслідки, спроможності та послуги, від яких залежить діяльність суб’єкта, забезпечити їх усвідомлення співробітниками</t>
  </si>
  <si>
    <t>GV.OC-05 Чи створено зв’язки та визначено залежності суб’єкта від зовнішніх ресурсів (наприклад, систем, операторів електронних комунікацій, мереж електроживлення тощо) та їхні зв’язки з організаційними активами та послугами (сервісами)?</t>
  </si>
  <si>
    <t>Стратегія управління ризиками (GV.RM)</t>
  </si>
  <si>
    <t>GV.RM-01 Чи оновлено/переглянуто з визначеною частотою короткострокові та довгострокові цілі з управління ризиками кібербезпеки, як частини річного стратегічного планування та в разі значних змін?</t>
  </si>
  <si>
    <t>GV.RM-02 Чи визначено допустимий рівень ризику кібербезпеки суб’єкта, який відповідає очікуванням щодо належного рівня ризику?</t>
  </si>
  <si>
    <t>GV.RM-03 Чи об’єднано  ризики кібербезпеки, які управляються разом з іншими ризиками (наприклад, відповідність вимогам, фінансові, операційні, регуляторні, репутаційні, безпека)?</t>
  </si>
  <si>
    <t>GV.RM-04 Визначити та довести до відома співробітників стратегічні напрями, які описують відповідні варіанти реагування на ризики кібербезпеки</t>
  </si>
  <si>
    <t>GV.RM-04 Чи визначено варіанти реагування на ризик кібербезпеки, наприклад: зменшення ризику шляхом впровадження нових заходів кіберзахисту або посилення наявних заходів?</t>
  </si>
  <si>
    <t>GV.RM-05 Визначити та довести до відома співробітників способи обміну інформацією всередині суб’єкта щодо ризиків кібербезпеки, включаючи ризики, які несуть постачальники товарів, робіт, послуг та інші треті сторони</t>
  </si>
  <si>
    <t>GV.RM-05 Чи визначено та узгоджено проміжки часу інформування старших керівників, директорів і керівництво про стан кібербезпеки суб’єкта?</t>
  </si>
  <si>
    <t>GV.RM-06 Визначити та довести до відома співробітників стандартизовані методи розрахунку, документування, ідентифікації та визначення пріоритетності ризиків кібербезпеки</t>
  </si>
  <si>
    <t>GV.RM-06 Чи встановлено критерії для використання кількісного підходу до аналізу ризиків кібербезпеки?</t>
  </si>
  <si>
    <t>GV.RM-07 Визначити, охарактеризувати та забезпечувати обговорення зі співробітниками суб’єкта стратегічних можливостей щодо управління ризиками кібербезпеки</t>
  </si>
  <si>
    <t>GV.RM-07 Чи визначено методи для виявлення можливостей і включення їх в обговорення ризиків кібербезпеки (наприклад, аналіз сильних і слабких сторін, можливостей і загроз [SWOT])?</t>
  </si>
  <si>
    <t>Ролі, обов’язки та повноваження (GV.RR)</t>
  </si>
  <si>
    <t>GV.RR-01 Чи керівництвом узгоджено власні ролі та обов’язки щодо розробки, впровадження та оцінювання виконання  стратегії кібербезпеки?</t>
  </si>
  <si>
    <t>GV.RR-02 Чи визначено в політиці та затверджено ролі та обов’язки з управління ризиками кібербезпеки?</t>
  </si>
  <si>
    <t>GV.RR-03 Чи забезпечено періодичні перевірки керівництва, щоб переконатися, що ті, хто відповідає за управління ризиками кібербезпеки, мають необхідні повноваження?</t>
  </si>
  <si>
    <t>GV.RR-04 Включити питання кібербезпеки в практики управління персоналом</t>
  </si>
  <si>
    <t>GV.RR-04 Чи у кадрову політику включено управління ризиками кібербезпеки (наприклад, перевірка співробітників перед прийняттям на роботу, адаптація, сповіщення про зміни, звільнення)?</t>
  </si>
  <si>
    <t>Політика (GV.PO)</t>
  </si>
  <si>
    <t>GV.PO-01 Чи створено, поширено та підтримується політика управління ризиками кібербезпеки, яка зрозуміла та враховує цілі, очікування та  спрямування керівництва суб’єкта?</t>
  </si>
  <si>
    <t>GV.PO-02 Забезпечити періодичний перегляд, оновлення та виконання політики управління ризиками кібербезпеки з урахуванням змін нормативних вимог, загроз, технологій та місії суб’єкта</t>
  </si>
  <si>
    <t>GV.PO-02 Чи оновлено політику управління ризиками кібербезпеки на основі періодичних перевірок результатів управління ризиками кібербезпеки, щоб гарантувати, що політика та допоміжні послуги (сервіси з кібербезпеки) адекватно підтримують ризик на прийнятному рівні, зміни в правових і нормативних вимогах, у технологіях (наприклад, впровадження штучного інтелекту)?</t>
  </si>
  <si>
    <t>Контроль (GV.OV)</t>
  </si>
  <si>
    <t>GV.OV-01 Чи проаналізовано, наскільки стратегія управління ризиками кібербезпеки та результати перевірки чи аудиту системи управління ризиками допомогли керівникам приймати рішення та досягати цілей суб’єкта?</t>
  </si>
  <si>
    <t>GV.OV-02 Забезпечити перегляд і коригування стратегії управління ризиками кібербезпеки для забезпечення охоплення нею вимог суб’єкта та ризиків</t>
  </si>
  <si>
    <t>GV.OV-02 Чи переглянуто результати аудиту, щоб підтвердити, чи забезпечила наявна стратегія кібербезпеки відповідність внутрішнім і зовнішнім вимогам?</t>
  </si>
  <si>
    <t>GV.OV-03 Забезпечити оцінювання продуктивності управління ризиками кібербезпеки для перегляду, внесення необхідних коригувань відповідно до поточних потреб</t>
  </si>
  <si>
    <t>GV.OV-03 Чи переглянуто ключові індикатори виконання (KPI) для переконання, що розроблена політика та впроваджені процедури допомагають досягти постановленої мети?</t>
  </si>
  <si>
    <t>Управління ризиками ланцюга постачання
(GV.SC)</t>
  </si>
  <si>
    <t>GV.SC-01 Чи створено стратегію, яка відображає цілі програми  управління ризиками кібербезпеки ланцюга постачання?</t>
  </si>
  <si>
    <t>GV.SC-02 Чи визначено одну (або кілька) роль/посадову особу, яка відповідає за планування, забезпечення ресурсами та виконання діяльності з управління ризиками кібербезпеки ланцюга постачання?</t>
  </si>
  <si>
    <t>GV.SC-03 Чи ідентифіковано та узгоджено питання кібербезпеки з управлінням ризиками кібербезпеки суб’єкта?</t>
  </si>
  <si>
    <t>GV.SC-04 Визначити та пріоритизувати постачальників товарів, робіт, послуг за ступенем критичності</t>
  </si>
  <si>
    <t>GV.SC-04 Чи розроблено критерії критичності постачальників на основі чутливості даних, які обробляються або зберігаються постачальниками, ступеня доступу до систем суб’єкта та важливості продуктів або послуг для місії суб’єкта?</t>
  </si>
  <si>
    <t>GV.SC-05 Встановити вимоги, пов’язані з ризиками кібербезпеки в ланцюгах постачання, та впровадити їх у договори/контракти або інші типи договорів з постачальниками товарів, робіт, послуг та відповідними третіми сторонами
*
**</t>
  </si>
  <si>
    <t>GV.SC-05 Чи визначено вимоги безпеки для постачальників, продуктів і послуг (зокрема, щодо тестування та доведення безпеки продуктів і послуг, що постачаються, протягом їх всього життєвого циклу) відповідно до рівня критичності та потенційного впливу компрометації продуктів та послуг, які ними постачаються?</t>
  </si>
  <si>
    <t>GV.SC-06 Забезпечити планування та комплексну перевірку постачальників товарів, робіт, послуг або інших третіх сторін для зменшення ризиків кібербезпеки перед початком договірних відносин з ними</t>
  </si>
  <si>
    <t>GV.SC-06 Чи проведено ретельну перевірку потенційних постачальників, яка відповідає рівню ризику кібербезпеки, критичності та складності відносин з кожним потенційним постачальником?</t>
  </si>
  <si>
    <t>GV.SC-07 Визначити ризики кібербезпеки, пов’язані з постачальником товарів, робіт, послуг, його продукцією та послугами, які він надає, з іншими третіми сторонами, усвідомити їх, зареєструвати, пріоритизувати та забезпечити реагування на них і контроль протягом всієї співпраці</t>
  </si>
  <si>
    <t>GV.SC-07 Чи скориговано формати та частоту оцінювання на основі репутації третьої сторони та критичності продуктів чи послуг, які вона надає?</t>
  </si>
  <si>
    <t>GV.SC-08 Чи визначено та використовуються правила та протоколи звітування про заходи реагування на кіберінциденти, кібератаки або кіберзагрози та відновлення, а також статус між суб’єктом та його постачальниками?</t>
  </si>
  <si>
    <t>GV.SC-09 Інтегрувати практичні заходи щодо забезпечення безпеки ланцюга постачання в програми суб’єкта щодо кібербезпеки та управління ризиками кібербезпеки, контролювати їх ефективність протягом всього життєвого циклу користування продуктами та послугами, які суб’єкт отримує від постачальника товарів, робіт, послуг чи інших третіх сторін</t>
  </si>
  <si>
    <t>GV.SC-09 Чи політики та процедури вимагають документування  походження всіх придбаних технологічних продуктів і послуг?</t>
  </si>
  <si>
    <t>GV.SC-10 Передбачити в планах управління ризиками кібербезпеки, пов’язаними з ланцюгами постачання, порядок дій, які необхідно виконати після прийняття рішення щодо партнерства або укладання договору про надання послуг</t>
  </si>
  <si>
    <t>GV.SC-10 Чи встановлено процеси для припинення критичних відносин як за нормальних, так і за несприятливих обставин?</t>
  </si>
  <si>
    <t>Управління активами (ID.AM)</t>
  </si>
  <si>
    <t>ID.AM-01 Чи проведено інвентаризацію для всіх типів обладнання суб’єкта, включаючи ІТ, IoT, OT та мобільні пристрої?</t>
  </si>
  <si>
    <t>ID.AM-02 Чи всі типи програмного забезпечення та послуг, у тому числі із відкритим вихідним кодом, користувацьких програм, служб API та хмарних послуг ідентифіковано та задокументовано?</t>
  </si>
  <si>
    <t>ID.AM-03 Чи підтримуються базові лінії зв'язку та потоки даних у дротових та бездротових мережах суб’єкта?</t>
  </si>
  <si>
    <t>ID.AM-04 Чи усі зовнішні служби та послуги, які використовуються суб’єктом, включаючи послуги IaaS, PaaS SaaS, API, та інші зовнішні служби додатків ідентифіковано та задокументовано?</t>
  </si>
  <si>
    <t>ID.AM-05 Чи встановлено критерії пріоритизації активів?</t>
  </si>
  <si>
    <t>ID.AM-07 Забезпечити інвентаризацію даних і пов’язаних з ними метаданих відповідно до визначених типів даних</t>
  </si>
  <si>
    <t>ID.AM-07 Чи затверджено перелік типів даних (ідентифікаційна інформація, захищена інформація про здоров’я, номери фінансових рахунків, інтелектуальна власність суб’єкта, дані про операційні технології тощо)?</t>
  </si>
  <si>
    <t>ID.AM-08 Чи питання кібербезпеки розглядаються протягом усього життєвого циклу систем, апаратного забезпечення, програмного забезпечення та послуг?</t>
  </si>
  <si>
    <t>Оцінка ризиків кібербезпеки (ID.RA)</t>
  </si>
  <si>
    <t>ID.RA-01 Чи запроваджено використання технології управління вразливостями для виявлення не налаштованого та неправильно налаштованого програмного забезпечення?</t>
  </si>
  <si>
    <t>ID.RA-02 Чи налаштувати інструменти та технології кібербезпеки з можливостями виявлення або реагування для безпечного надання та отримання зворотного зв’язку про кіберзагрози?</t>
  </si>
  <si>
    <t>ID.RA-03 Чи використовувати кіберрозвідку для підтримки обізнаності про типи загрозливих акторів, які можуть націлюватися на суб’єкт, та їх тактику, методи і процедури (ТМП)?</t>
  </si>
  <si>
    <t>ID.RA-04 Чи керівники суб’єкта та фахівці з управління ризиками кібербезпеки працюють разом, щоб оцінити ймовірність та вплив сценаріїв ризиків і зареєструвати їх у реєстрах ризиків?</t>
  </si>
  <si>
    <t>ID.RA-05 Забезпечити використання інформації про вірогідні кіберзагрози, вразливості та можливі наслідки від їх настання для розуміння невід’ємного ризику та інформування про пріоритетність реагування на ризики</t>
  </si>
  <si>
    <t>ID.RA-05 Чи здійснювати розвиток моделі загроз для більшого розуміння ризиків кібербезпеки, для даних та визначити відповідні заходи реагування на кіберінциденти, кібератаки та кіберзагрози?</t>
  </si>
  <si>
    <t>ID.RA-06 Чи критерії плану управління вразливостями застосовуються для прийняття, передачі, пом’якшення або уникнення ризику кібербезпеки, або вибору компенсаційних заходів для пом’якшення ризику?</t>
  </si>
  <si>
    <t>ID.RA-07 Забезпечити управління, оцінювання на предмет ризику кібербезпеки, реєстрацію та відстеження змін і винятків до затвердженої документації</t>
  </si>
  <si>
    <t>ID.RA-07 Чи запроваджено та контролюється дотримання визначених документацією процедур перегляду, оцінювання та затвердження запропонованих змін до неї?</t>
  </si>
  <si>
    <t>ID.RA-08 Чи здійснювати обмін інформацією про вразливості між суб’єктом, постачальниками відповідно до правил і протоколів, визначених у контрактах?</t>
  </si>
  <si>
    <t>ID.RA-09 Чи оцінка автентичності та кібербезпеки критично важливих технологічних продуктів і послуг проводиться до їх придбання та використання?</t>
  </si>
  <si>
    <t>ID.RA-10 Забезпечити проведення оцінювання постачальників перед придбанням у них критично важливих для суб'єкта товарів, робіт і послуг</t>
  </si>
  <si>
    <t>ID.RA-10 Чи здійснюється оцінювання  постачальників товарів, робіт, послуг перед придбанням у них критично важливих для суб’єкта товарів, робіт і послуг?</t>
  </si>
  <si>
    <t>Удосконалення (ID.IM)</t>
  </si>
  <si>
    <t>ID.IM-01 Чи проведено самооцінку критично важливих служб, враховуючи поточні загрози та відомі  техніки, тактики та процедури?</t>
  </si>
  <si>
    <t>ID.IM-02 Визначити напрями удосконалення за результатами тестування безпеки та навчальних вправ, включаючи їх виконання у взаємодії з постачальниками товарів, робіт, послуг та відповідними третіми сторонами</t>
  </si>
  <si>
    <t>ID.IM-02 Чи за результатами аналізу процедур реагування на кіберінциденти, кібератаки або кіберзагрози (у тому числі ТТХ, симуляцій, тестувань, внутрішніх оглядів та незалежного аудиту) визначено, які з них і як потребують удосконалення для покращення реагування на кіберінциденти, кібератаки або кіберзагрози у майбутньому?</t>
  </si>
  <si>
    <t>ID.IM-03 Визначати покращення з управління ризиками кібербезпеки під час виконання операційних процесів, процедур і дій</t>
  </si>
  <si>
    <t>ID.IM-03 Чи проводиться спільне з постачальниками вивчення отриманого досвіду з минулих кіберінцидентів та управління вразливостями?</t>
  </si>
  <si>
    <t>ID.IM-04 Чи розроблено плани дій у надзвичайних ситуаціях (наприклад, плани реагування на кіберінциденти, кібератаки або кіберзагрози, безперервності діяльності суб’єкта, відновлення після катастроф) для реагування та відновлення після несприятливих подій, які можуть перешкоджати діяльності, викривати конфіденційну інформацію або іншим чином загрожувати місії та функціонуванню суб’єкта?</t>
  </si>
  <si>
    <t>Управління ідентифікацією, автентифікація та контроль доступу
(PR.AA)</t>
  </si>
  <si>
    <t>PR.AA-01 Чи ініціація запитів на отримання або на розширення існуючих прав доступу для співробітників, підрядників та інших осіб відстежується, переглядається та надається за потреби і погодженням з власниками системи або даних?</t>
  </si>
  <si>
    <t>PR.AA-02 Забезпечити підтвердження ідентичності користувачів та їх відповідність обліковим записам на основі умов взаємодії</t>
  </si>
  <si>
    <t>PR.AA-02 Чи правилами суб’єкта визначено, що реєстрація та перевірка особи проводяться на підставі офіційних документів, що її засвідчують (паспорт, водійські права тощо)?</t>
  </si>
  <si>
    <t>PR.AA-03 Чи суб’єктом впроваджена та використовується багатофакторна автентифікація?</t>
  </si>
  <si>
    <t>PR.AA-04 Забезпечити перевіряння, захист і передавання інформації про запити на ідентифікацію</t>
  </si>
  <si>
    <t>PR.AA-04 Чи надійність ідентифікації підтверджена тим, що передача даних автентифікації та інформації користувача проводиться через системи єдиного входу або між державними системами?</t>
  </si>
  <si>
    <t>PR.AA-05 Чи перегляд привілеїв логічного та фізичного доступу проводиться періодично та щоразу, коли змінюється роль або відбувається звільнення співробітника, або привілеї, які більше не потрібні, скасовуються?</t>
  </si>
  <si>
    <t>PR.AA-06 Чи суб’єктом залучено співробітників охорони, застосовуються камери спостереження, замки на вході, системи сигналізації та інші технічні засоби контролю перебування та обмеження доступу?</t>
  </si>
  <si>
    <t>Обізнаність і навчання з питань кіберзахисту (PR.AT)</t>
  </si>
  <si>
    <t>PR.AT-01 Чи проводяться навчання та тренінги для працівників, підрядників, партнерів, постачальників та інших визначених користувачів непублічних ресурсів суб’єкта для їх обізнаності щодо базових принципів кібербезпеки?</t>
  </si>
  <si>
    <t>PR.AT-02 Чи визначено посади, які мають доступ до важливих для даних суб’єкта, обіймання яких вимагає проходження додаткового навчання з питань кібербезпеки?</t>
  </si>
  <si>
    <t>Безпека даних (PR.DS)</t>
  </si>
  <si>
    <t>PR.DS-01 Чи використовуються шифрування, цифрові підписи та криптографічні хеші для захисту конфіденційності та цілісності збережених даних у файлах, базах даних, образах дисків віртуальних машин, образах контейнерів та інших ресурсах?</t>
  </si>
  <si>
    <t>PR.DS-02 Чи застосовується шифрування, цифрові підписи та криптографічні хеші для захисту конфіденційності та цілісності при використанні мережевих комунікацій?</t>
  </si>
  <si>
    <t>PR.DS-10 Чи здійснюється видалення даних, які мають залишатися конфіденційними, як тільки вони більше не потрібні; забезпечити захист даних, що використовуються, від доступу інших користувачів та процесів тієї ж платформи?</t>
  </si>
  <si>
    <t>PR.DS-11 Чи безперервно здійснюється резервне копіювання критичних даних у наближеному до реального часі?</t>
  </si>
  <si>
    <t>Безпека платформ (PR.PS)</t>
  </si>
  <si>
    <t>PR.PS-01 Чи встановлено, протестовано, розгорнуто та підтримувати захищені базові конфігурації, які забезпечують виконання політик кібербезпеки суб’єкта та надають лише необхідні можливості (тобто принцип максимально обмеженої функціональності)?</t>
  </si>
  <si>
    <t>PR.PS-02 Забезпечити належне обслуговування, заміну та видалення програмного забезпечення відповідно до ризику кібербезпеки</t>
  </si>
  <si>
    <t>PR.PS-02 Чи виконується поточне та екстрене виправлення вразливостей у встановлені терміни, зазначені в плані управління  вразливостями?</t>
  </si>
  <si>
    <t>PR.PS-03 Забезпечити обслуговування, заміну та видалення обладнання відповідно до ризику кібербезпеки</t>
  </si>
  <si>
    <t>PR.PS-03 Чи здійснюється  заміна апаратного забезпечення, коли воно не має необхідних можливостей безпеки або не може підтримувати програмне забезпечення з необхідними можливостями безпеки?</t>
  </si>
  <si>
    <t>PR.PS-04 Чи налаштовані всі операційні системи, додатки та сервіси (включаючи хмарні ресурси) для генерації записів у журнали подій?</t>
  </si>
  <si>
    <t>PR.PS-05 Чи обмежено використання програмного забезпечення лише дозволеними продуктами, а використання неавторизованого програмного забезпечення заборонено?</t>
  </si>
  <si>
    <t>PR.PS-06 Інтегрувати практики безпечної розробки програмного забезпечення та контролювати їх виконання протягом життєвого циклу розробленого програмного забезпечення</t>
  </si>
  <si>
    <t>PR.PS-06 Чи усі компоненти програмного забезпечення, розробленого суб’єктом, захищені від втручання та несанкціонованого доступу?</t>
  </si>
  <si>
    <t>Стійкість технологічної інфраструктури (PR.IR)</t>
  </si>
  <si>
    <t>PR.IR-01 Чи мережі суб’єкта та хмарні платформи логічно сегментовані відповідно до меж довіри та типів платформ (наприклад, IT, IoT, OT, мобільні, гості) і необхідні комунікації дозволені лише між сегментами?</t>
  </si>
  <si>
    <t>PR.IR-02 Забезпечити захист технологічних активів від загроз навколишнього середовища</t>
  </si>
  <si>
    <t>PR.IR-02 Чи забезпечується захист обладнання суб’єкта від відомих екологічних загроз, таких як затоплення, пожежа, вітер, надмірна спека та вологість?</t>
  </si>
  <si>
    <t>PR.IR-03 Чи здійснено заходи щодо запобігання використанню єдиних точок відмови в системах та інфраструктурі, використовуються компоненти з високою доступністю, такі як резервне зберігання та джерела живлення?</t>
  </si>
  <si>
    <t>PR.IR-04 Забезпечити управління пропорційністю та адекватністю застосування ресурсів для їх доступності</t>
  </si>
  <si>
    <t>PR.IR-04 Чи проводиться моніторинг використання пристроїв зберігання даних, живлення, обчислювальних ресурсів, пропускної здатності мережі та інших ресурсів?</t>
  </si>
  <si>
    <t>Безперервний моніторинг (DE.CM)</t>
  </si>
  <si>
    <t>DE.CM-01 Чи забезпечено відстеження DNS, BGP та інших мережевих служб на наявність небажаних подій?</t>
  </si>
  <si>
    <t>DE.CM-02 Проводити постійний моніторинг фізичного середовища для виявлення потенційно несприятливих подій</t>
  </si>
  <si>
    <t>DE.CM-02 Чи відстежуються журнали подій систем контролю фізичного доступу (наприклад, зчитувачів бейджів), щоб знайти незвичайні шаблони доступу (наприклад, відхилення від норми) і невдалі спроби доступу?</t>
  </si>
  <si>
    <t>DE.CM-03 Чи забезпечено використання  програмного забезпечення для аналітики поведінки з метою виявлення аномальної активності користувачів, щоб пом’якшити внутрішні загрози?</t>
  </si>
  <si>
    <t>DE.CM-06 Чи забезпечено відстеження віддаленого та локального адміністрування й технічного обслуговування, які зовнішні постачальники виконують у системах суб’єкта?</t>
  </si>
  <si>
    <t>DE.CM-09 Чи забезпечено моніторинг електронної пошти, Інтернету, обміну файлами, служб спільної роботи та інших поширених векторів атак для виявлення зловмисного програмного забезпечення, фішингу, витоку та крадіжки даних та інших небажаних подій?</t>
  </si>
  <si>
    <t>Аналіз несприятливих подій (DE.AE)</t>
  </si>
  <si>
    <t>DE.AE-02 Чи впроваджено систему управління інформацією та подіями безпеки (SIEM) або інші інструменти для постійного моніторингу подій у журналі на наявність відомої зловмисної та підозрілої активності?</t>
  </si>
  <si>
    <t>DE.AE-03 Впровадити періодичне проведення пошуку та зіставлення інформації з кількох джерел</t>
  </si>
  <si>
    <t>DE.AE-03 Чи забезпечено постійне передавання даних журналу, створених з інших джерел, на відносно невелику кількість серверів журналів?</t>
  </si>
  <si>
    <t>DE.AE-04 Забезпечити усвідомлення очікуваного впливу і масштабу несприятливих подій</t>
  </si>
  <si>
    <t>DE.AE-04 Чи упроваджено SIEM або інші інструменти для оцінки впливу та масштабу, а також переглянуто й уточнено оцінки?</t>
  </si>
  <si>
    <t>DE.AE-06 Чи використано програмне забезпечення для кібербезпеки, щоб створювати сповіщення та передавати їх до центру безпеки (SOC), служб реагування на кіберінциденти, кібератаки або кіберзагрози та інструментів реагування?</t>
  </si>
  <si>
    <t>DE.AE-07 Чи забезпечено безпечне надання інформації про кіберзагрози технологіям виявлення, процесам і співробітникам?</t>
  </si>
  <si>
    <t xml:space="preserve">DE.AE-08 Запровадити належну ідентифікацію кіберінцидентів та кібератак за визначними характеристиками </t>
  </si>
  <si>
    <t>DE.AE-08 Чи застосовано критерії кіберінциденту до відомих і припущених характеристик діяльності, щоб визначити, чи слід оголошувати кіберінцидент?</t>
  </si>
  <si>
    <t>Управління кіберінцидентами (RS.MA)</t>
  </si>
  <si>
    <t>RS.MA-01 Чи забезпечено автоматичне виявлення кіберінцидентів?</t>
  </si>
  <si>
    <t>RS.MA-02 Упровадити сортування звітів про кіберінциденти після їх підтвердження</t>
  </si>
  <si>
    <t>RS.MA-02 Чи переглянуто звіти про кіберінциденти, підтверджено те, що вони пов’язані з кібербезпекою та вимагають заходів з реагування на кіберінциденти, кібератаки або кіберзагрози?</t>
  </si>
  <si>
    <t>RS.MA-03 Чи проведено аналіз і класифікацію кіберінцидентів на основі їх таксономії (наприклад, порушення даних, програми-вимагачі, DDoS, компрометація облікового запису)?</t>
  </si>
  <si>
    <t>RS.MA-04 Упровадити інформування та підвищення рівнів критичності кіберінцидентів (за потреби)</t>
  </si>
  <si>
    <t>RS.MA-04 Чи відстежено та перевірено статус усіх поточних кіберінцидентів?</t>
  </si>
  <si>
    <t>RS.MA-05 Упровадити застосування критеріїв для ініціювання відновлення після кіберінциденту</t>
  </si>
  <si>
    <t>RS.MA-05 Чи застосовано критерії відновлення кіберінциденту до відомих і передбачуваних характеристик кіберінциденту, щоб визначити, чи слід ініціювати процеси відновлення кіберінциденту?</t>
  </si>
  <si>
    <t>Аналіз кіберінциденту (RS.AN)</t>
  </si>
  <si>
    <t>RS.AN-03 Чи забезпечено запис та неможливість перезапису дій кожного спеціаліста з реагування на кіберінциденти, кібератаки або кіберзагрози та інших осіб (наприклад, системних адміністраторів, інженерів з кібербезпеки), які виконують завдання з реагування на кіберінциденти?</t>
  </si>
  <si>
    <t>RS.AN-06 Чи забезпечено запис та неможливість перезапису дій кожного спеціаліста з реагування на інциденти та інших осіб (наприклад, системних адміністраторів, інженерів з кібербезпеки), які виконують завдання з реагування на інциденти, забезпечено наявність особи, яка веде розслідування виникнення інциденту</t>
  </si>
  <si>
    <t>RS.AN-07 Чи забезпечено збирання, зберігання та захист цілісності усіх відповідних даних про інциденти та метаданих (наприклад, джерело даних, дата/час збору) на основі процедур поводження та зберігання доказів</t>
  </si>
  <si>
    <t>RS.AN-08 Запровадити оцінювання масштабу кіберінциденту або кібератаки та документально його підтверджувати</t>
  </si>
  <si>
    <t>RS.AN-08 Чи переглянуто інші потенційні цілі кіберінциденту, щоб знайти індикатори компрометації та докази в наполегливості?</t>
  </si>
  <si>
    <t>Звітування про реагування на кіберінциденти, кібератаки, кіберзагрози та комунікація (RS.CO)</t>
  </si>
  <si>
    <t>RS.CO-02 Чи дотримано визначеної процедури оповіщення щодо порушення даних після виявлення кіберінциденту з порушенням даних, включаючи сповіщення постраждалих клієнтів?</t>
  </si>
  <si>
    <t>RS.CO-03 Чи забезпечено безпечний обмін інформацією відповідно до планів на кіберінциденти, кібератаки та кіберзагрози та договорів про обмін інформацією?</t>
  </si>
  <si>
    <t>Пом'якшення кіберінциденту (RS.MI)</t>
  </si>
  <si>
    <t>RS.MI-01 Чи забезпечено автоматичне виконання дій стримування за допомогою технологічних рішень   (наприклад, антивірусне програмне забезпечення) та інших технологій (наприклад, операційні системи, пристрої мережевої інфраструктури), які мають функції забезпечення кібербезпеки?</t>
  </si>
  <si>
    <t>RS.MI-02 Чи забезпечено автоматичне виконання завдань стримування за допомогою впроваджених технологій кіберзахисту та інших технологій, які  мають такі функції (наприклад, операційні системи, мережа пристроїв інфраструктури)?</t>
  </si>
  <si>
    <t>Виконання плану відновлення після кіберінциденту (RC.RP)</t>
  </si>
  <si>
    <t>RC.RP-01 Чи розпочато процедури відновлення під час або після процесів реагування на кіберінциденти, кібератаки або кіберзагрози?</t>
  </si>
  <si>
    <t>RC.RP-02 Чи обрано дії з відновлення на основі критеріїв, визначених у плані реагування на кіберінциденти, кібератаки та кіберзагрози, і доступних ресурсів?</t>
  </si>
  <si>
    <t>RC.RP-03 Чи перевірено відновлені активи на наявність ознак компрометації, пошкодження файлів та інших питань цілісності активів перед їх використанням?</t>
  </si>
  <si>
    <t>RC.RP-04 Переглянути критичні для місії суб’єкта функції для встановлення операційних норм після кіберінцидентів і кібератак</t>
  </si>
  <si>
    <t>RC.RP-04 Чи використано записи про вплив на суб’єкт і категоризацію системи (включно з цілями надання послуг), щоб підтвердити, що основні послуги відновлюються у відповідному порядку?</t>
  </si>
  <si>
    <t>RC.RP-05 Чи перевірено відновлені активи на наявність індикаторів компрометації та усунення основних причин кіберінциденту перед їх штатним використанням?</t>
  </si>
  <si>
    <t xml:space="preserve">RC.RP-06 Задекларувати завершення відновлення після кіберінциденту, кібератаки і підтвердження критеріїв та пов’язаної з кіберінцидентом документації </t>
  </si>
  <si>
    <t>RC.RP-06 Чи підготовлено звіт про завершення дії, в якому задокументовано сам кіберінцидент, вжиті заходи реагування та відновлення, а також отримані уроки?</t>
  </si>
  <si>
    <t>Комунікація з відновлення після кіберінциденту (RC.CO)</t>
  </si>
  <si>
    <t>RC.CO-03 Чи забезпечено безпечний обмін інформацією про відновлення, включаючи хід відновлення, відповідно до планів реагування на кіберінциденти, кібератаки та кіберзагрози та договорів про обмін інформацією?</t>
  </si>
  <si>
    <t>RC.CO-04 Чи дотримано процедури інформування про кіберінциденти, кібератаки та кіберзагрози?</t>
  </si>
  <si>
    <t xml:space="preserve">RC.CO-03 Забезпечити інформування визначених внутрішніх і зовнішніх заінтересованих сторін про заходи з відновлення та прогрес у відновленні операційних спроможностей </t>
  </si>
  <si>
    <t>RC.CO-04 Запровадити інформування суспільства про відновлення після кіберінциденту, кібератаки, використовуючи затверджені методи та повідомлення, відповідно до Порядку публічного інформування або звітування про реагування на кіберінциденти, кібератаки, усунення їх наслідків, затвердженого постановою Кабінету Міністрів України від 26 листопада 2025 року № 1533</t>
  </si>
  <si>
    <t>RC.RP-05 Переконатися в цілісності відновлених активів, відновленні систем та служб і підтвердити їх робочий стан</t>
  </si>
  <si>
    <t>RC.RP-01 Забезпечити виконання передбачених планом реагування на кіберінциденти, кібератаки або кіберзагрози заходів щодо відновлення одразу після їх ініціалізації в ході реагування на кіберінциденти, кібератаки та кіберзагрози</t>
  </si>
  <si>
    <t xml:space="preserve">RC.RP-02 Забезпечити відбір, визначення обсягу, пріоритетність та виконання заходів з відновлення
</t>
  </si>
  <si>
    <t>RC.RP-03 Переконатися у цілісності резервних копій та інших ресурсів, які підлягають відновленню, перед їх використанням для відновлення</t>
  </si>
  <si>
    <t>RS.MI-02 Забезпечити ліквідацію кіберінцидентів</t>
  </si>
  <si>
    <t>RS.CO-02 Запровадити сповіщення внутрішніх та зовнішніх заінтересованих сторін про кіберінциденти, кібератаки та кіберзагрози</t>
  </si>
  <si>
    <t xml:space="preserve">RS.CO-03 Запровадити надання інформації визначеним внутрішнім і зовнішнім заінтересованим сторонам
</t>
  </si>
  <si>
    <t>RS.MI-01 Забезпечити локалізацію кіберінцидентів</t>
  </si>
  <si>
    <t>RS.AN-07 Запровадити здійснення збору та забезпечити цілісність та збереження даних про кіберінциденти та метаданих</t>
  </si>
  <si>
    <t>RS.AN-06 Запровадити здійснення запису дій, які виконуються під час розслідування кіберінциденту, та забезпечити цілісність і збереження таких записів</t>
  </si>
  <si>
    <t xml:space="preserve">GV.OC-01 Забезпечити розуміння місії суб’єкта та її врахування при управлінні ризиками кібербезпеки 
</t>
  </si>
  <si>
    <t xml:space="preserve">GV.OC-02 Визначити внутрішніх і зовнішніх заінтересованих сторін, забезпечити розуміння та врахування їхніх потреб і очікувань щодо управління ризиками
</t>
  </si>
  <si>
    <t xml:space="preserve">GV.OC-03 Визначити та забезпечити виконання співробітниками чинних законодавчих, нормативних та договірних вимог, а також вимог суб’єкта щодо кібербезпеки, включаючи вимоги щодо нерозголошення конфіденційння інформації та захисту прав та свобод 
</t>
  </si>
  <si>
    <t xml:space="preserve">GV.RM-01 Визначити та узгодити із заінтересованими сторонами суб’єкта цілі управління ризиками кібербезпеки
</t>
  </si>
  <si>
    <t xml:space="preserve">GV.RM-02 Визначити допустимий рівень ризику кібербезпеки, який суб’єкт може прийняти, довести до відома всіх співробітників та заінтересованих сторін і підтримувати таку інформацію в актуальному стані
</t>
  </si>
  <si>
    <t>GV.RM-03 Додати до загальних процесів управління ризиками суб’єкта діяльність з управління ризиками кібербезпеки та досягнення її цілей</t>
  </si>
  <si>
    <t xml:space="preserve">RS.AN-03 Запровадити проведення аналізу для встановлення того, що відбулося під час кіберінциденту та які джерела виникнення кіберінциденту </t>
  </si>
  <si>
    <t xml:space="preserve">RS.MA-03 Упровадити таксономію та пріоритизацію кіберінцидентів
</t>
  </si>
  <si>
    <t>RS.MA-01 Упровадити виконання плану реагування на кіберінциденти, кібератаки або кіберзагрози в координації з відповідними третіми сторонами одразу після оголошення кіберінциденту</t>
  </si>
  <si>
    <t>DE.AE-07 Забезпечити збирання, виявлення та аналіз інформації про кіберзагрози та іншої контекстної інформації</t>
  </si>
  <si>
    <t>DE.AE-06 Забезпечити передавання інформації про несприятливі події до уповноважених суб’єктів для використання відповідного інструментарію</t>
  </si>
  <si>
    <t>DE.AE-02 Впровадити періодичне проведення аналізу потенційно несприятливих подій для кращого розуміння пов’язаних подій</t>
  </si>
  <si>
    <t xml:space="preserve">DE.CM-09 Проводити постійний моніторинг використання комп’ютерного обладнання та програмного забезпечення, середовища їх виконання та даних для виявлення потенційно несприятливих подій </t>
  </si>
  <si>
    <t xml:space="preserve">DE.CM-03 Проводити постійний моніторинг діяльності співробітників і використання ними технологій для виявлення потенційно несприятливих подій </t>
  </si>
  <si>
    <t>DE.CM-06 Проводити постійний моніторинг діяльності і послуг зовнішнього постачальника товарів, робіт, послуг для виявлення потенційно несприятливих подій</t>
  </si>
  <si>
    <t>DE.CM-01 Проводити постійний моніторинг мереж і мережевих служб для виявлення потенційно несприятливих подій</t>
  </si>
  <si>
    <t>PR.IR-03 Реалізувати механізми для досягнення вимог стійкості в нормальних і несприятливих ситуаціях</t>
  </si>
  <si>
    <t>PR.IR-01 Забезпечити захист мережі та середовища від неавторизованого логічного доступу та використання</t>
  </si>
  <si>
    <t>PR.PS-05 Заборонити встановлення та виконання несанкціонованого програмного забезпечення</t>
  </si>
  <si>
    <t>PR.PS-04 Створити записи журналів подій, які зроблені доступними для постійного моніторингу</t>
  </si>
  <si>
    <t>PR.PS-01 Встановити та застосовувати методи керування конфігурацією</t>
  </si>
  <si>
    <t>PR.DS-11 Забезпечити створення, захист, підтримку та тестування резервних копій даних</t>
  </si>
  <si>
    <t>PR.DS-10 Забезпечити конфіденційність, цілісність і доступність даних, що використовуються: до яких є доступ, які обробляються та регулярно оновлюються застосунками, користувачами або пристроями суб’єкта</t>
  </si>
  <si>
    <t>PR.DS-02 Забезпечити конфіденційність, цілісність і доступність даних, що передаються</t>
  </si>
  <si>
    <t>PR.DS-01 Забезпечити конфіденційність, цілісність і доступність даних, що зберігаються в обладнанні систем суб’єкта</t>
  </si>
  <si>
    <t>PR.AT-02 Забезпечити обізнаність і навченість співробітників, які безпосередньо виконують завдання із забезпечення кібербезпеки, кіберзахисту таким чином, що вони мали знання та навички для виконання встановлених завдань щодо ризиків кібербезпеки</t>
  </si>
  <si>
    <t>PR.AT-01 Систематично проводити інструктажі та тренінги з кібергігієни, а також забезпечити обізнаність і навченість співробітників таким чином, що вони мали знання та навички для виконання основних завдань щодо ризиків кібербезпеки</t>
  </si>
  <si>
    <t>PR.AA-06 Здійснювати управління та моніторинг фізичного доступу до активів відповідно до ризику кібербезпеки</t>
  </si>
  <si>
    <t>PR.AA-05 Визначити в політиці, дотримуючись принципів найменших привілеїв і розподілу обов’язків, дозволи доступу, повноваження та авторизації, керувати ними, застосовувати та переглядати</t>
  </si>
  <si>
    <t>PR.AA-03 Забезпечити автентифікацію користувачів, служб та апаратного забезпечення</t>
  </si>
  <si>
    <t xml:space="preserve">PR.AA-01 Забезпечити на рівні суб’єкта керування обліковими даними для авторизованих користувачів, служб і апаратного забезпечення </t>
  </si>
  <si>
    <t xml:space="preserve">ID.IM-04 Розробити, затвердити, довести до відома співробітників, переглядати та удосконалювати план реагування на кіберінциденти, кібератаки або кіберзагрози відповідно до Національного плану реагування на кіберінциденти, кібератаки та  кіберзагрози, затвердженого постановою Кабінету Міністрів України від 26 листопада 2025 року № 1533, внутрішні політики кібербезпеки, план кіберзахисту та інші регламентуючі документи, які впливають на діяльність суб’єкта </t>
  </si>
  <si>
    <t>ID.IM-01 Визначити напрями удосконалення за результатами проведеного оцінювання стану кіберзахисту</t>
  </si>
  <si>
    <t>ID.RA-09 Проводити перевірку автентичності і цілісності обладнання та програмного забезпечення перед його придбанням і використанням</t>
  </si>
  <si>
    <t>ID.RA-08 Визначити процеси отримання, аналізу та реагування на опубліковані повідомлення про виявлені вразливості</t>
  </si>
  <si>
    <t>ID.RA-06 Визначити заходи реагування на ризики кібербезпеки та встановити їх пріоритетність, забезпечити їх відслідковування та комунікацію щодо них</t>
  </si>
  <si>
    <t>ID.RA-04 Визначити та задокументувати потенційні наслідки та вірогідні загрози, пов’язані з експлуатацією кіберзагроз і вразливостей</t>
  </si>
  <si>
    <t>ID.RA-03 Визначити та задокументувати внутрішні та зовнішні кіберзагрози</t>
  </si>
  <si>
    <t>ID.RA-02 Організувати отримання інформації про кіберзагрози та вразливості з платформи обміну інформацією про кіберінциденти, кібератаки, кіберзагрози, з репозитарію інформації про кіберінциденти, інших офіційних джерел</t>
  </si>
  <si>
    <t>ID.RA-01 Ідентифікувати, підтверджувати та вести записи щодо вразливих місць активів</t>
  </si>
  <si>
    <t>ID.AM-08 Забезпечити управління системами, апаратним та програмним забезпеченням, послугами та даними протягом усього їх життєвого циклу</t>
  </si>
  <si>
    <t>ID.AM-05 Провести розподіл активів за пріоритетністю, враховуючи їх класифікацію, критичність, ресурси, вплив на місію суб’єкта</t>
  </si>
  <si>
    <t>ID.AM-04 Забезпечити періодичне проведення інвентаризації послуг, що надаються постачальниками товарів, робіт, послуг</t>
  </si>
  <si>
    <t>ID.AM-02 Забезпечити періодичне проведення інвентаризації програмного забезпечення, послуг і систем, якими керує суб'єкт</t>
  </si>
  <si>
    <t>ID.AM-03 Забезпечити підтримку використання авторизованих мережевих з’єднань та визначити внутрішні і зовнішні мережеві потоки</t>
  </si>
  <si>
    <t xml:space="preserve">GV.SC-08 Забезпечити залучення відповідних постачальників товарів, робіт, послуг та інших третіх сторін до діяльності щодо планування, реагування на кіберінциденти, кібератаки, кіберзагрози та відновлення після них </t>
  </si>
  <si>
    <t>ID.AM-01 Забезпечити періодичне проведення інвентаризації програмного забезпечення, послуг і систем, якими керує суб’єкт</t>
  </si>
  <si>
    <t>GV.SC-03 Забезпечити інтеграцію управління ризиками ланцюга постачання у сфері кібербезпеки в процеси управління ризиками кібербезпеки суб'єкта, оцінку ризиків і їх вдосконалення</t>
  </si>
  <si>
    <t>GV.SC-02 Розробити, довести, здійснювати внутрішню та зовнішню координацію ролей з кібербезпеки при їх виконанні постачальниками товарів, робіт, послуг, користувачами та партнерами суб’єкта</t>
  </si>
  <si>
    <t>GV.SC-01 Розробити програму, стратегію, цілі, політики та процеси управління ризиками кібербезпеки, пов’язаними з ланцюгами постачання, погодити їх із заінтересованими сторонами суб’єкта</t>
  </si>
  <si>
    <t xml:space="preserve">GV.OV-01 Забезпечити врахування результатів стратегії управління ризиками кібербезпеки для вдосконалення та коригування її напрямів </t>
  </si>
  <si>
    <t xml:space="preserve">GV.PO-01 Розробити та довести до відома співробітників суб’єкта політику управління ризиками кібербезпеки, яка визначена з урахуванням структури суб’єкта, стратегії кібербезпеки та пріоритетів </t>
  </si>
  <si>
    <t>GV.RR-03 Визначити необхідні ресурси відповідно до стратегії управління ризиками кібербезпеки, ролей, відповідальності та політик</t>
  </si>
  <si>
    <t>GV.RR-02 Встановити, забезпечити комунікацію, розуміння та дотримання ролей і повноважень щодо управління ризиками</t>
  </si>
  <si>
    <t>GV.RR-01 визначити із числа керівництва суб’єкта посадову особу, яка звітує про ризики кібербезпеки та підтримання культури поведінки щодо усвідомлення ризиків та етики, її постійне вдосконалення, а також відповідає за них</t>
  </si>
  <si>
    <t>Критерії оцінювання</t>
  </si>
  <si>
    <t>Виконано повністю / ТАК / 100%</t>
  </si>
  <si>
    <t>Виконано частково / &gt;50%</t>
  </si>
  <si>
    <t>Заплановано / У процесі виконання / &lt;50%</t>
  </si>
  <si>
    <t>Не виконано / НІ / 0%</t>
  </si>
  <si>
    <t>Організаційно-кадрове забезпечення</t>
  </si>
  <si>
    <t>Чи призначено керівника з кіберзахисту / відповідальну особу, яка виконує функції та завдання керівника з кіберзахисту?</t>
  </si>
  <si>
    <t>Чи забезпечено створення та функціонування окремого структурного підрозділу з  кіберзахисту?</t>
  </si>
  <si>
    <t>Чи забезпечено повну укомплектованість штату підрозділу з кіберзахисту (на 100%) відповідно до затвердженої структури?</t>
  </si>
  <si>
    <t>Обізнаність персоналу</t>
  </si>
  <si>
    <t>Чи пройшов увесь персонал, який мав бути залучений, тренінги з кібергігієни протягом звітного періоду? (вказати відсоток персоналу, що пройшов тренінги з кібергігієни, до загальної кількості тих, хто мав пройти)</t>
  </si>
  <si>
    <t>Чи забезпечено проходження навчання з питань кіберзахисту всіма категоріями співробітників, для яких воно було заплановане? (вказати відсоток персоналу, що пройшов навчання з питань кіберзахисту протягом звітнього періоду, до загальної кількості тих, хто мав пройти)</t>
  </si>
  <si>
    <t>План кіберзахисту</t>
  </si>
  <si>
    <t>Чи наявний план кіберзахисту?</t>
  </si>
  <si>
    <t>Чи переглядається план кіберзахисту щороку?</t>
  </si>
  <si>
    <t>Реагування на кіберінциденти, кібератаки, кіберзагрози</t>
  </si>
  <si>
    <t>Чи налагоджена взаємодія з командами реагування на кіберінциденти, кібератаки, кіберзагрози?</t>
  </si>
  <si>
    <t>Чи розроблені та підтримуються в актуальному стані стандартні операційні процедури для реагування на різні категорії кіберінцидентів, кібератак?</t>
  </si>
  <si>
    <t>Захист систем</t>
  </si>
  <si>
    <t>Чи отримується доступ до Інтернету через систему захищеного доступу державних органів до Інтернету Державного центру кіберзахисту або через постачальників електронних комунікаційних мереж та/або послуг, які мають захищені вузли доступу до глобальних мереж передачі даних, або через власні авторизовані з безпеки системи захищеного доступу до Інтернету?</t>
  </si>
  <si>
    <t>Чи забезпечено підключення власних систем до засобів і технічних систем реагування суб’єктів національної системи реагування?</t>
  </si>
  <si>
    <t>Обмін інформацією</t>
  </si>
  <si>
    <t>Чи забезпечено приєднання до платформи обміну інформацією про кіберінциденти, кібератаки, кіберзагрози?</t>
  </si>
  <si>
    <t>Чи створено або визначено електронну адресу для обміну інформацією в власному домені та створено пов’язаний з нею криптографічний ключ стандарту OpenPGP?</t>
  </si>
  <si>
    <t>Чи забезпечено обмін інформацією про індикатори кіберзагроз  за допомогою адаптованих програмних продуктів «Malware Information Sharing Platform and Threat Sharing»?</t>
  </si>
  <si>
    <t>Чи забезпечено інтеграцію засобів кіберзахисту з адаптованими програмними продуктами «Malware Information Sharing Platform and Threat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</si>
</sst>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Times New Roman"/>
      <family val="1"/>
      <charset val="204"/>
    </font>
    <font>
      <sz val="11"/>
      <name val="Times New Roman"/>
      <family val="1"/>
      <charset val="204"/>
    </font>
    <font>
      <sz val="11"/>
      <name val="Calibri"/>
      <family val="2"/>
      <scheme val="minor"/>
    </font>
    <font>
      <b/>
      <sz val="11"/>
      <color theme="1"/>
      <name val="Times New Roman"/>
      <family val="1"/>
      <charset val="204"/>
    </font>
    <font>
      <sz val="11"/>
      <color theme="1"/>
      <name val="Times New Roman"/>
      <family val="1"/>
      <charset val="204"/>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6" xfId="0" applyFont="1" applyBorder="1" applyAlignment="1" applyProtection="1">
      <alignment vertical="center"/>
      <protection locked="0"/>
    </xf>
    <xf numFmtId="0" fontId="3" fillId="0" borderId="6" xfId="0" applyFont="1" applyBorder="1" applyAlignment="1" applyProtection="1">
      <alignment horizontal="center" vertical="center"/>
      <protection locked="0"/>
    </xf>
    <xf numFmtId="0" fontId="3" fillId="0" borderId="6" xfId="0" applyFont="1" applyBorder="1" applyAlignment="1" applyProtection="1">
      <alignment vertical="center"/>
      <protection locked="0"/>
    </xf>
    <xf numFmtId="0" fontId="3" fillId="0" borderId="6" xfId="0" applyFont="1" applyBorder="1" applyAlignment="1">
      <alignment vertical="center"/>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2" xfId="0" applyFont="1" applyBorder="1" applyAlignment="1">
      <alignment vertical="center" wrapText="1"/>
    </xf>
    <xf numFmtId="0" fontId="0" fillId="0" borderId="0" xfId="0" applyAlignment="1">
      <alignment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vertical="center"/>
    </xf>
    <xf numFmtId="0" fontId="5" fillId="0" borderId="1" xfId="0" applyFont="1" applyBorder="1" applyAlignment="1">
      <alignment horizontal="center" vertical="center" wrapText="1"/>
    </xf>
    <xf numFmtId="0" fontId="5" fillId="0" borderId="6" xfId="0" applyFont="1" applyFill="1" applyBorder="1" applyAlignment="1">
      <alignment vertical="center" wrapText="1"/>
    </xf>
    <xf numFmtId="0" fontId="5" fillId="0" borderId="6" xfId="0" applyFont="1" applyBorder="1" applyAlignment="1" applyProtection="1">
      <alignment vertical="center"/>
      <protection locked="0"/>
    </xf>
    <xf numFmtId="0" fontId="0" fillId="0" borderId="6" xfId="0" applyBorder="1" applyAlignment="1">
      <alignment vertical="center"/>
    </xf>
    <xf numFmtId="0" fontId="5" fillId="0" borderId="6" xfId="0" applyFont="1" applyBorder="1" applyAlignment="1">
      <alignment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Fill="1" applyBorder="1" applyAlignment="1">
      <alignment horizontal="center" vertical="center" wrapText="1"/>
    </xf>
    <xf numFmtId="0" fontId="2" fillId="0" borderId="6" xfId="0" applyFont="1" applyFill="1" applyBorder="1" applyAlignment="1">
      <alignment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vertical="top" wrapText="1"/>
    </xf>
    <xf numFmtId="0" fontId="5" fillId="0" borderId="7" xfId="0" applyFont="1" applyFill="1" applyBorder="1" applyAlignment="1">
      <alignment horizontal="center" vertical="center" wrapText="1"/>
    </xf>
  </cellXfs>
  <cellStyles count="1">
    <cellStyle name="Обычный" xfId="0" builtinId="0"/>
  </cellStyles>
  <dxfs count="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10"/>
  <sheetViews>
    <sheetView workbookViewId="0">
      <selection activeCell="L5" sqref="L5"/>
    </sheetView>
  </sheetViews>
  <sheetFormatPr defaultRowHeight="15" x14ac:dyDescent="0.25"/>
  <cols>
    <col min="1" max="1" width="4.140625" customWidth="1"/>
    <col min="2" max="4" width="40.7109375" customWidth="1"/>
    <col min="5" max="9" width="15.7109375" customWidth="1"/>
    <col min="10" max="10" width="27.28515625" customWidth="1"/>
  </cols>
  <sheetData>
    <row r="3" spans="1:10" x14ac:dyDescent="0.25">
      <c r="A3" s="1" t="s">
        <v>0</v>
      </c>
      <c r="B3" s="1" t="s">
        <v>1</v>
      </c>
      <c r="C3" s="1" t="s">
        <v>2</v>
      </c>
      <c r="D3" s="1" t="s">
        <v>3</v>
      </c>
      <c r="E3" s="2" t="s">
        <v>4</v>
      </c>
      <c r="F3" s="3"/>
      <c r="G3" s="3"/>
      <c r="H3" s="3"/>
      <c r="I3" s="4"/>
      <c r="J3" s="1" t="s">
        <v>5</v>
      </c>
    </row>
    <row r="4" spans="1:10" ht="42.75" x14ac:dyDescent="0.25">
      <c r="A4" s="5"/>
      <c r="B4" s="5"/>
      <c r="C4" s="5"/>
      <c r="D4" s="5"/>
      <c r="E4" s="6" t="s">
        <v>6</v>
      </c>
      <c r="F4" s="6" t="s">
        <v>7</v>
      </c>
      <c r="G4" s="6" t="s">
        <v>8</v>
      </c>
      <c r="H4" s="6" t="s">
        <v>9</v>
      </c>
      <c r="I4" s="6" t="s">
        <v>10</v>
      </c>
      <c r="J4" s="5"/>
    </row>
    <row r="5" spans="1:10" ht="150" x14ac:dyDescent="0.25">
      <c r="A5" s="7">
        <v>1</v>
      </c>
      <c r="B5" s="8" t="s">
        <v>11</v>
      </c>
      <c r="C5" s="9" t="s">
        <v>190</v>
      </c>
      <c r="D5" s="10" t="s">
        <v>12</v>
      </c>
      <c r="E5" s="11">
        <v>1</v>
      </c>
      <c r="F5" s="11"/>
      <c r="G5" s="11"/>
      <c r="H5" s="12"/>
      <c r="I5" s="13"/>
      <c r="J5" s="14">
        <f>IF(I5&lt;&gt;"", "", IF(E5&lt;&gt;"", 1, IF(F5&lt;&gt;"", 0.5, IF(G5&lt;&gt;"", 0.2, IF(H5&lt;&gt;"", 0, "")))))</f>
        <v>1</v>
      </c>
    </row>
    <row r="6" spans="1:10" ht="135" x14ac:dyDescent="0.25">
      <c r="A6" s="7">
        <v>2</v>
      </c>
      <c r="B6" s="8" t="s">
        <v>11</v>
      </c>
      <c r="C6" s="9" t="s">
        <v>191</v>
      </c>
      <c r="D6" s="10" t="s">
        <v>13</v>
      </c>
      <c r="E6" s="11">
        <v>1</v>
      </c>
      <c r="F6" s="11"/>
      <c r="G6" s="11"/>
      <c r="H6" s="11"/>
      <c r="I6" s="11"/>
      <c r="J6" s="14">
        <f t="shared" ref="J6:J69" si="0">IF(I6&lt;&gt;"", "", IF(E6&lt;&gt;"", 1, IF(F6&lt;&gt;"", 0.5, IF(G6&lt;&gt;"", 0.2, IF(H6&lt;&gt;"", 0, "")))))</f>
        <v>1</v>
      </c>
    </row>
    <row r="7" spans="1:10" ht="120" x14ac:dyDescent="0.25">
      <c r="A7" s="7">
        <v>3</v>
      </c>
      <c r="B7" s="8" t="s">
        <v>11</v>
      </c>
      <c r="C7" s="9" t="s">
        <v>192</v>
      </c>
      <c r="D7" s="10" t="s">
        <v>14</v>
      </c>
      <c r="E7" s="11">
        <v>1</v>
      </c>
      <c r="F7" s="11"/>
      <c r="G7" s="11"/>
      <c r="H7" s="11"/>
      <c r="I7" s="11"/>
      <c r="J7" s="14">
        <f t="shared" si="0"/>
        <v>1</v>
      </c>
    </row>
    <row r="8" spans="1:10" ht="60" x14ac:dyDescent="0.25">
      <c r="A8" s="7">
        <v>4</v>
      </c>
      <c r="B8" s="8" t="s">
        <v>11</v>
      </c>
      <c r="C8" s="9" t="s">
        <v>15</v>
      </c>
      <c r="D8" s="10" t="s">
        <v>16</v>
      </c>
      <c r="E8" s="11">
        <v>1</v>
      </c>
      <c r="F8" s="11"/>
      <c r="G8" s="11"/>
      <c r="H8" s="11"/>
      <c r="I8" s="11"/>
      <c r="J8" s="14">
        <f t="shared" si="0"/>
        <v>1</v>
      </c>
    </row>
    <row r="9" spans="1:10" ht="105" x14ac:dyDescent="0.25">
      <c r="A9" s="7">
        <v>5</v>
      </c>
      <c r="B9" s="8" t="s">
        <v>11</v>
      </c>
      <c r="C9" s="9" t="s">
        <v>17</v>
      </c>
      <c r="D9" s="10" t="s">
        <v>18</v>
      </c>
      <c r="E9" s="11">
        <v>1</v>
      </c>
      <c r="F9" s="11"/>
      <c r="G9" s="11"/>
      <c r="H9" s="11"/>
      <c r="I9" s="11"/>
      <c r="J9" s="14">
        <f t="shared" si="0"/>
        <v>1</v>
      </c>
    </row>
    <row r="10" spans="1:10" ht="90" x14ac:dyDescent="0.25">
      <c r="A10" s="7">
        <v>6</v>
      </c>
      <c r="B10" s="8" t="s">
        <v>19</v>
      </c>
      <c r="C10" s="9" t="s">
        <v>193</v>
      </c>
      <c r="D10" s="10" t="s">
        <v>20</v>
      </c>
      <c r="E10" s="11"/>
      <c r="F10" s="11"/>
      <c r="G10" s="11">
        <v>1</v>
      </c>
      <c r="H10" s="11"/>
      <c r="I10" s="11"/>
      <c r="J10" s="14">
        <f t="shared" si="0"/>
        <v>0.2</v>
      </c>
    </row>
    <row r="11" spans="1:10" ht="105" x14ac:dyDescent="0.25">
      <c r="A11" s="7">
        <v>7</v>
      </c>
      <c r="B11" s="8" t="s">
        <v>19</v>
      </c>
      <c r="C11" s="9" t="s">
        <v>194</v>
      </c>
      <c r="D11" s="10" t="s">
        <v>21</v>
      </c>
      <c r="E11" s="11"/>
      <c r="F11" s="11"/>
      <c r="G11" s="11"/>
      <c r="H11" s="11">
        <v>1</v>
      </c>
      <c r="I11" s="11"/>
      <c r="J11" s="14">
        <f t="shared" si="0"/>
        <v>0</v>
      </c>
    </row>
    <row r="12" spans="1:10" ht="75" x14ac:dyDescent="0.25">
      <c r="A12" s="7">
        <v>8</v>
      </c>
      <c r="B12" s="8" t="s">
        <v>19</v>
      </c>
      <c r="C12" s="9" t="s">
        <v>195</v>
      </c>
      <c r="D12" s="10" t="s">
        <v>22</v>
      </c>
      <c r="E12" s="11"/>
      <c r="F12" s="11">
        <v>1</v>
      </c>
      <c r="G12" s="11"/>
      <c r="H12" s="11"/>
      <c r="I12" s="11"/>
      <c r="J12" s="14">
        <f t="shared" si="0"/>
        <v>0.5</v>
      </c>
    </row>
    <row r="13" spans="1:10" ht="75" x14ac:dyDescent="0.25">
      <c r="A13" s="7">
        <v>9</v>
      </c>
      <c r="B13" s="8" t="s">
        <v>19</v>
      </c>
      <c r="C13" s="9" t="s">
        <v>23</v>
      </c>
      <c r="D13" s="10" t="s">
        <v>24</v>
      </c>
      <c r="E13" s="11"/>
      <c r="F13" s="11"/>
      <c r="G13" s="11">
        <v>1</v>
      </c>
      <c r="H13" s="11"/>
      <c r="I13" s="11"/>
      <c r="J13" s="14">
        <f t="shared" si="0"/>
        <v>0.2</v>
      </c>
    </row>
    <row r="14" spans="1:10" ht="90" x14ac:dyDescent="0.25">
      <c r="A14" s="7">
        <v>10</v>
      </c>
      <c r="B14" s="8" t="s">
        <v>19</v>
      </c>
      <c r="C14" s="9" t="s">
        <v>25</v>
      </c>
      <c r="D14" s="10" t="s">
        <v>26</v>
      </c>
      <c r="E14" s="11"/>
      <c r="F14" s="11">
        <v>1</v>
      </c>
      <c r="G14" s="11"/>
      <c r="H14" s="11"/>
      <c r="I14" s="11"/>
      <c r="J14" s="14">
        <f t="shared" si="0"/>
        <v>0.5</v>
      </c>
    </row>
    <row r="15" spans="1:10" ht="75" x14ac:dyDescent="0.25">
      <c r="A15" s="7">
        <v>11</v>
      </c>
      <c r="B15" s="8" t="s">
        <v>19</v>
      </c>
      <c r="C15" s="9" t="s">
        <v>27</v>
      </c>
      <c r="D15" s="10" t="s">
        <v>28</v>
      </c>
      <c r="E15" s="11">
        <v>1</v>
      </c>
      <c r="F15" s="11"/>
      <c r="G15" s="11"/>
      <c r="H15" s="11"/>
      <c r="I15" s="11"/>
      <c r="J15" s="14">
        <f t="shared" si="0"/>
        <v>1</v>
      </c>
    </row>
    <row r="16" spans="1:10" ht="75" x14ac:dyDescent="0.25">
      <c r="A16" s="7">
        <v>12</v>
      </c>
      <c r="B16" s="8" t="s">
        <v>19</v>
      </c>
      <c r="C16" s="9" t="s">
        <v>29</v>
      </c>
      <c r="D16" s="10" t="s">
        <v>30</v>
      </c>
      <c r="E16" s="11"/>
      <c r="F16" s="11"/>
      <c r="G16" s="11">
        <v>1</v>
      </c>
      <c r="H16" s="11"/>
      <c r="I16" s="11"/>
      <c r="J16" s="14">
        <f t="shared" si="0"/>
        <v>0.2</v>
      </c>
    </row>
    <row r="17" spans="1:10" ht="90" x14ac:dyDescent="0.25">
      <c r="A17" s="7">
        <v>13</v>
      </c>
      <c r="B17" s="8" t="s">
        <v>31</v>
      </c>
      <c r="C17" s="9" t="s">
        <v>244</v>
      </c>
      <c r="D17" s="10" t="s">
        <v>32</v>
      </c>
      <c r="E17" s="11"/>
      <c r="F17" s="11">
        <v>1</v>
      </c>
      <c r="G17" s="11"/>
      <c r="H17" s="11"/>
      <c r="I17" s="11"/>
      <c r="J17" s="14">
        <f t="shared" si="0"/>
        <v>0.5</v>
      </c>
    </row>
    <row r="18" spans="1:10" ht="60" x14ac:dyDescent="0.25">
      <c r="A18" s="7">
        <v>14</v>
      </c>
      <c r="B18" s="8" t="s">
        <v>31</v>
      </c>
      <c r="C18" s="9" t="s">
        <v>243</v>
      </c>
      <c r="D18" s="10" t="s">
        <v>33</v>
      </c>
      <c r="E18" s="11"/>
      <c r="F18" s="11"/>
      <c r="G18" s="11"/>
      <c r="H18" s="11">
        <v>1</v>
      </c>
      <c r="I18" s="11"/>
      <c r="J18" s="14">
        <f t="shared" si="0"/>
        <v>0</v>
      </c>
    </row>
    <row r="19" spans="1:10" ht="75" x14ac:dyDescent="0.25">
      <c r="A19" s="7">
        <v>15</v>
      </c>
      <c r="B19" s="8" t="s">
        <v>31</v>
      </c>
      <c r="C19" s="9" t="s">
        <v>242</v>
      </c>
      <c r="D19" s="10" t="s">
        <v>34</v>
      </c>
      <c r="E19" s="11"/>
      <c r="F19" s="11"/>
      <c r="G19" s="11"/>
      <c r="H19" s="11"/>
      <c r="I19" s="11">
        <v>1</v>
      </c>
      <c r="J19" s="14" t="str">
        <f t="shared" si="0"/>
        <v/>
      </c>
    </row>
    <row r="20" spans="1:10" ht="75" x14ac:dyDescent="0.25">
      <c r="A20" s="15">
        <v>16</v>
      </c>
      <c r="B20" s="16" t="s">
        <v>31</v>
      </c>
      <c r="C20" s="10" t="s">
        <v>35</v>
      </c>
      <c r="D20" s="17" t="s">
        <v>36</v>
      </c>
      <c r="E20" s="11"/>
      <c r="F20" s="11"/>
      <c r="G20" s="11">
        <v>1</v>
      </c>
      <c r="H20" s="11"/>
      <c r="I20" s="11"/>
      <c r="J20" s="14">
        <f t="shared" si="0"/>
        <v>0.2</v>
      </c>
    </row>
    <row r="21" spans="1:10" ht="75" x14ac:dyDescent="0.25">
      <c r="A21" s="15">
        <v>17</v>
      </c>
      <c r="B21" s="16" t="s">
        <v>37</v>
      </c>
      <c r="C21" s="10" t="s">
        <v>241</v>
      </c>
      <c r="D21" s="17" t="s">
        <v>38</v>
      </c>
      <c r="E21" s="11"/>
      <c r="F21" s="11">
        <v>1</v>
      </c>
      <c r="G21" s="11"/>
      <c r="H21" s="11"/>
      <c r="I21" s="11"/>
      <c r="J21" s="14">
        <f t="shared" si="0"/>
        <v>0.5</v>
      </c>
    </row>
    <row r="22" spans="1:10" ht="150" x14ac:dyDescent="0.25">
      <c r="A22" s="15">
        <v>18</v>
      </c>
      <c r="B22" s="16" t="s">
        <v>37</v>
      </c>
      <c r="C22" s="10" t="s">
        <v>39</v>
      </c>
      <c r="D22" s="17" t="s">
        <v>40</v>
      </c>
      <c r="E22" s="11"/>
      <c r="F22" s="11"/>
      <c r="G22" s="11"/>
      <c r="H22" s="11">
        <v>1</v>
      </c>
      <c r="I22" s="11"/>
      <c r="J22" s="14">
        <f t="shared" si="0"/>
        <v>0</v>
      </c>
    </row>
    <row r="23" spans="1:10" ht="90" x14ac:dyDescent="0.25">
      <c r="A23" s="15">
        <v>19</v>
      </c>
      <c r="B23" s="16" t="s">
        <v>41</v>
      </c>
      <c r="C23" s="10" t="s">
        <v>240</v>
      </c>
      <c r="D23" s="17" t="s">
        <v>42</v>
      </c>
      <c r="E23" s="11"/>
      <c r="F23" s="11"/>
      <c r="G23" s="11">
        <v>1</v>
      </c>
      <c r="H23" s="11"/>
      <c r="I23" s="11"/>
      <c r="J23" s="14">
        <f t="shared" si="0"/>
        <v>0.2</v>
      </c>
    </row>
    <row r="24" spans="1:10" ht="75" x14ac:dyDescent="0.25">
      <c r="A24" s="15">
        <v>20</v>
      </c>
      <c r="B24" s="16" t="s">
        <v>41</v>
      </c>
      <c r="C24" s="10" t="s">
        <v>43</v>
      </c>
      <c r="D24" s="17" t="s">
        <v>44</v>
      </c>
      <c r="E24" s="11"/>
      <c r="F24" s="11">
        <v>1</v>
      </c>
      <c r="G24" s="11"/>
      <c r="H24" s="11"/>
      <c r="I24" s="11"/>
      <c r="J24" s="14">
        <f t="shared" si="0"/>
        <v>0.5</v>
      </c>
    </row>
    <row r="25" spans="1:10" ht="75" x14ac:dyDescent="0.25">
      <c r="A25" s="15">
        <v>21</v>
      </c>
      <c r="B25" s="16" t="s">
        <v>41</v>
      </c>
      <c r="C25" s="10" t="s">
        <v>45</v>
      </c>
      <c r="D25" s="17" t="s">
        <v>46</v>
      </c>
      <c r="E25" s="11"/>
      <c r="F25" s="11"/>
      <c r="G25" s="11">
        <v>1</v>
      </c>
      <c r="H25" s="11"/>
      <c r="I25" s="11"/>
      <c r="J25" s="14">
        <f t="shared" si="0"/>
        <v>0.2</v>
      </c>
    </row>
    <row r="26" spans="1:10" ht="75" x14ac:dyDescent="0.25">
      <c r="A26" s="15">
        <v>22</v>
      </c>
      <c r="B26" s="16" t="s">
        <v>47</v>
      </c>
      <c r="C26" s="10" t="s">
        <v>239</v>
      </c>
      <c r="D26" s="17" t="s">
        <v>48</v>
      </c>
      <c r="E26" s="11">
        <v>1</v>
      </c>
      <c r="F26" s="11"/>
      <c r="G26" s="11"/>
      <c r="H26" s="11"/>
      <c r="I26" s="11"/>
      <c r="J26" s="14">
        <f t="shared" si="0"/>
        <v>1</v>
      </c>
    </row>
    <row r="27" spans="1:10" ht="90" x14ac:dyDescent="0.25">
      <c r="A27" s="15">
        <v>23</v>
      </c>
      <c r="B27" s="16" t="s">
        <v>47</v>
      </c>
      <c r="C27" s="10" t="s">
        <v>238</v>
      </c>
      <c r="D27" s="17" t="s">
        <v>49</v>
      </c>
      <c r="E27" s="11">
        <v>1</v>
      </c>
      <c r="F27" s="11"/>
      <c r="G27" s="11"/>
      <c r="H27" s="11"/>
      <c r="I27" s="11"/>
      <c r="J27" s="14">
        <f t="shared" si="0"/>
        <v>1</v>
      </c>
    </row>
    <row r="28" spans="1:10" ht="75" x14ac:dyDescent="0.25">
      <c r="A28" s="15">
        <v>24</v>
      </c>
      <c r="B28" s="16" t="s">
        <v>47</v>
      </c>
      <c r="C28" s="10" t="s">
        <v>237</v>
      </c>
      <c r="D28" s="17" t="s">
        <v>50</v>
      </c>
      <c r="E28" s="11">
        <v>1</v>
      </c>
      <c r="F28" s="11"/>
      <c r="G28" s="11"/>
      <c r="H28" s="11"/>
      <c r="I28" s="11"/>
      <c r="J28" s="14">
        <f t="shared" si="0"/>
        <v>1</v>
      </c>
    </row>
    <row r="29" spans="1:10" ht="90" x14ac:dyDescent="0.25">
      <c r="A29" s="15">
        <v>25</v>
      </c>
      <c r="B29" s="16" t="s">
        <v>47</v>
      </c>
      <c r="C29" s="10" t="s">
        <v>51</v>
      </c>
      <c r="D29" s="17" t="s">
        <v>52</v>
      </c>
      <c r="E29" s="11"/>
      <c r="F29" s="11">
        <v>1</v>
      </c>
      <c r="G29" s="11"/>
      <c r="H29" s="11"/>
      <c r="I29" s="11"/>
      <c r="J29" s="14">
        <f t="shared" si="0"/>
        <v>0.5</v>
      </c>
    </row>
    <row r="30" spans="1:10" ht="135" x14ac:dyDescent="0.25">
      <c r="A30" s="15">
        <v>26</v>
      </c>
      <c r="B30" s="16" t="s">
        <v>47</v>
      </c>
      <c r="C30" s="10" t="s">
        <v>53</v>
      </c>
      <c r="D30" s="17" t="s">
        <v>54</v>
      </c>
      <c r="E30" s="11">
        <v>1</v>
      </c>
      <c r="F30" s="11"/>
      <c r="G30" s="11"/>
      <c r="H30" s="11"/>
      <c r="I30" s="11"/>
      <c r="J30" s="14">
        <f t="shared" si="0"/>
        <v>1</v>
      </c>
    </row>
    <row r="31" spans="1:10" ht="90" x14ac:dyDescent="0.25">
      <c r="A31" s="15">
        <v>27</v>
      </c>
      <c r="B31" s="16" t="s">
        <v>47</v>
      </c>
      <c r="C31" s="10" t="s">
        <v>55</v>
      </c>
      <c r="D31" s="17" t="s">
        <v>56</v>
      </c>
      <c r="E31" s="11">
        <v>1</v>
      </c>
      <c r="F31" s="11"/>
      <c r="G31" s="11"/>
      <c r="H31" s="11"/>
      <c r="I31" s="11"/>
      <c r="J31" s="14">
        <f t="shared" si="0"/>
        <v>1</v>
      </c>
    </row>
    <row r="32" spans="1:10" ht="105" x14ac:dyDescent="0.25">
      <c r="A32" s="15">
        <v>28</v>
      </c>
      <c r="B32" s="16" t="s">
        <v>47</v>
      </c>
      <c r="C32" s="10" t="s">
        <v>57</v>
      </c>
      <c r="D32" s="17" t="s">
        <v>58</v>
      </c>
      <c r="E32" s="11"/>
      <c r="F32" s="11"/>
      <c r="G32" s="11">
        <v>1</v>
      </c>
      <c r="H32" s="11"/>
      <c r="I32" s="11"/>
      <c r="J32" s="14">
        <f t="shared" si="0"/>
        <v>0.2</v>
      </c>
    </row>
    <row r="33" spans="1:10" ht="105" x14ac:dyDescent="0.25">
      <c r="A33" s="15">
        <v>29</v>
      </c>
      <c r="B33" s="16" t="s">
        <v>47</v>
      </c>
      <c r="C33" s="10" t="s">
        <v>235</v>
      </c>
      <c r="D33" s="17" t="s">
        <v>59</v>
      </c>
      <c r="E33" s="11"/>
      <c r="F33" s="11"/>
      <c r="G33" s="11"/>
      <c r="H33" s="11">
        <v>1</v>
      </c>
      <c r="I33" s="11"/>
      <c r="J33" s="14">
        <f t="shared" si="0"/>
        <v>0</v>
      </c>
    </row>
    <row r="34" spans="1:10" ht="150" x14ac:dyDescent="0.25">
      <c r="A34" s="15">
        <v>30</v>
      </c>
      <c r="B34" s="16" t="s">
        <v>47</v>
      </c>
      <c r="C34" s="10" t="s">
        <v>60</v>
      </c>
      <c r="D34" s="17" t="s">
        <v>61</v>
      </c>
      <c r="E34" s="11"/>
      <c r="F34" s="11"/>
      <c r="G34" s="11"/>
      <c r="H34" s="11"/>
      <c r="I34" s="11">
        <v>1</v>
      </c>
      <c r="J34" s="14" t="str">
        <f t="shared" si="0"/>
        <v/>
      </c>
    </row>
    <row r="35" spans="1:10" ht="90" x14ac:dyDescent="0.25">
      <c r="A35" s="15">
        <v>31</v>
      </c>
      <c r="B35" s="16" t="s">
        <v>47</v>
      </c>
      <c r="C35" s="10" t="s">
        <v>62</v>
      </c>
      <c r="D35" s="17" t="s">
        <v>63</v>
      </c>
      <c r="E35" s="11"/>
      <c r="F35" s="11"/>
      <c r="G35" s="11"/>
      <c r="H35" s="11">
        <v>1</v>
      </c>
      <c r="I35" s="11"/>
      <c r="J35" s="14">
        <f t="shared" si="0"/>
        <v>0</v>
      </c>
    </row>
    <row r="36" spans="1:10" ht="60" x14ac:dyDescent="0.25">
      <c r="A36" s="15">
        <v>32</v>
      </c>
      <c r="B36" s="16" t="s">
        <v>64</v>
      </c>
      <c r="C36" s="10" t="s">
        <v>236</v>
      </c>
      <c r="D36" s="17" t="s">
        <v>65</v>
      </c>
      <c r="E36" s="11"/>
      <c r="F36" s="11">
        <v>1</v>
      </c>
      <c r="G36" s="11"/>
      <c r="H36" s="11"/>
      <c r="I36" s="11"/>
      <c r="J36" s="14">
        <f t="shared" si="0"/>
        <v>0.5</v>
      </c>
    </row>
    <row r="37" spans="1:10" ht="75" x14ac:dyDescent="0.25">
      <c r="A37" s="15">
        <v>33</v>
      </c>
      <c r="B37" s="16" t="s">
        <v>64</v>
      </c>
      <c r="C37" s="10" t="s">
        <v>233</v>
      </c>
      <c r="D37" s="17" t="s">
        <v>66</v>
      </c>
      <c r="E37" s="11">
        <v>1</v>
      </c>
      <c r="F37" s="11"/>
      <c r="G37" s="11"/>
      <c r="H37" s="11"/>
      <c r="I37" s="11"/>
      <c r="J37" s="14">
        <f t="shared" si="0"/>
        <v>1</v>
      </c>
    </row>
    <row r="38" spans="1:10" ht="60" x14ac:dyDescent="0.25">
      <c r="A38" s="15">
        <v>34</v>
      </c>
      <c r="B38" s="16" t="s">
        <v>64</v>
      </c>
      <c r="C38" s="10" t="s">
        <v>234</v>
      </c>
      <c r="D38" s="17" t="s">
        <v>67</v>
      </c>
      <c r="E38" s="11"/>
      <c r="F38" s="11">
        <v>1</v>
      </c>
      <c r="G38" s="11"/>
      <c r="H38" s="11"/>
      <c r="I38" s="11"/>
      <c r="J38" s="14">
        <f t="shared" si="0"/>
        <v>0.5</v>
      </c>
    </row>
    <row r="39" spans="1:10" ht="75" x14ac:dyDescent="0.25">
      <c r="A39" s="15">
        <v>35</v>
      </c>
      <c r="B39" s="16" t="s">
        <v>64</v>
      </c>
      <c r="C39" s="10" t="s">
        <v>232</v>
      </c>
      <c r="D39" s="17" t="s">
        <v>68</v>
      </c>
      <c r="E39" s="11"/>
      <c r="F39" s="11"/>
      <c r="G39" s="11">
        <v>1</v>
      </c>
      <c r="H39" s="11"/>
      <c r="I39" s="11"/>
      <c r="J39" s="14">
        <f t="shared" si="0"/>
        <v>0.2</v>
      </c>
    </row>
    <row r="40" spans="1:10" ht="60" x14ac:dyDescent="0.25">
      <c r="A40" s="15">
        <v>36</v>
      </c>
      <c r="B40" s="16" t="s">
        <v>64</v>
      </c>
      <c r="C40" s="10" t="s">
        <v>231</v>
      </c>
      <c r="D40" s="17" t="s">
        <v>69</v>
      </c>
      <c r="E40" s="11"/>
      <c r="F40" s="11">
        <v>1</v>
      </c>
      <c r="G40" s="11"/>
      <c r="H40" s="11"/>
      <c r="I40" s="11"/>
      <c r="J40" s="14">
        <f t="shared" si="0"/>
        <v>0.5</v>
      </c>
    </row>
    <row r="41" spans="1:10" ht="90" x14ac:dyDescent="0.25">
      <c r="A41" s="15">
        <v>37</v>
      </c>
      <c r="B41" s="16" t="s">
        <v>64</v>
      </c>
      <c r="C41" s="10" t="s">
        <v>70</v>
      </c>
      <c r="D41" s="17" t="s">
        <v>71</v>
      </c>
      <c r="E41" s="11">
        <v>1</v>
      </c>
      <c r="F41" s="11"/>
      <c r="G41" s="11"/>
      <c r="H41" s="11"/>
      <c r="I41" s="11"/>
      <c r="J41" s="14">
        <f t="shared" si="0"/>
        <v>1</v>
      </c>
    </row>
    <row r="42" spans="1:10" ht="60" x14ac:dyDescent="0.25">
      <c r="A42" s="15">
        <v>38</v>
      </c>
      <c r="B42" s="16" t="s">
        <v>64</v>
      </c>
      <c r="C42" s="10" t="s">
        <v>230</v>
      </c>
      <c r="D42" s="17" t="s">
        <v>72</v>
      </c>
      <c r="E42" s="11"/>
      <c r="F42" s="11">
        <v>1</v>
      </c>
      <c r="G42" s="11"/>
      <c r="H42" s="11"/>
      <c r="I42" s="11"/>
      <c r="J42" s="14">
        <f t="shared" si="0"/>
        <v>0.5</v>
      </c>
    </row>
    <row r="43" spans="1:10" ht="75" x14ac:dyDescent="0.25">
      <c r="A43" s="15">
        <v>39</v>
      </c>
      <c r="B43" s="16" t="s">
        <v>73</v>
      </c>
      <c r="C43" s="10" t="s">
        <v>229</v>
      </c>
      <c r="D43" s="17" t="s">
        <v>74</v>
      </c>
      <c r="E43" s="11"/>
      <c r="F43" s="11"/>
      <c r="G43" s="11">
        <v>1</v>
      </c>
      <c r="H43" s="11"/>
      <c r="I43" s="11"/>
      <c r="J43" s="14">
        <f t="shared" si="0"/>
        <v>0.2</v>
      </c>
    </row>
    <row r="44" spans="1:10" ht="90" x14ac:dyDescent="0.25">
      <c r="A44" s="15">
        <v>40</v>
      </c>
      <c r="B44" s="16" t="s">
        <v>73</v>
      </c>
      <c r="C44" s="10" t="s">
        <v>228</v>
      </c>
      <c r="D44" s="17" t="s">
        <v>75</v>
      </c>
      <c r="E44" s="11"/>
      <c r="F44" s="11">
        <v>1</v>
      </c>
      <c r="G44" s="11"/>
      <c r="H44" s="11"/>
      <c r="I44" s="11"/>
      <c r="J44" s="14">
        <f t="shared" si="0"/>
        <v>0.5</v>
      </c>
    </row>
    <row r="45" spans="1:10" ht="75" x14ac:dyDescent="0.25">
      <c r="A45" s="15">
        <v>41</v>
      </c>
      <c r="B45" s="16" t="s">
        <v>73</v>
      </c>
      <c r="C45" s="10" t="s">
        <v>227</v>
      </c>
      <c r="D45" s="17" t="s">
        <v>76</v>
      </c>
      <c r="E45" s="11"/>
      <c r="F45" s="11"/>
      <c r="G45" s="11"/>
      <c r="H45" s="11">
        <v>1</v>
      </c>
      <c r="I45" s="11"/>
      <c r="J45" s="14">
        <f t="shared" si="0"/>
        <v>0</v>
      </c>
    </row>
    <row r="46" spans="1:10" ht="75" x14ac:dyDescent="0.25">
      <c r="A46" s="15">
        <v>42</v>
      </c>
      <c r="B46" s="16" t="s">
        <v>73</v>
      </c>
      <c r="C46" s="10" t="s">
        <v>226</v>
      </c>
      <c r="D46" s="17" t="s">
        <v>77</v>
      </c>
      <c r="E46" s="11"/>
      <c r="F46" s="11"/>
      <c r="G46" s="11">
        <v>1</v>
      </c>
      <c r="H46" s="11"/>
      <c r="I46" s="11"/>
      <c r="J46" s="14">
        <f t="shared" si="0"/>
        <v>0.2</v>
      </c>
    </row>
    <row r="47" spans="1:10" ht="90" x14ac:dyDescent="0.25">
      <c r="A47" s="15">
        <v>43</v>
      </c>
      <c r="B47" s="16" t="s">
        <v>73</v>
      </c>
      <c r="C47" s="10" t="s">
        <v>78</v>
      </c>
      <c r="D47" s="17" t="s">
        <v>79</v>
      </c>
      <c r="E47" s="11">
        <v>1</v>
      </c>
      <c r="F47" s="11"/>
      <c r="G47" s="11"/>
      <c r="H47" s="11"/>
      <c r="I47" s="11"/>
      <c r="J47" s="14">
        <f t="shared" si="0"/>
        <v>1</v>
      </c>
    </row>
    <row r="48" spans="1:10" ht="90" x14ac:dyDescent="0.25">
      <c r="A48" s="15">
        <v>44</v>
      </c>
      <c r="B48" s="16" t="s">
        <v>73</v>
      </c>
      <c r="C48" s="10" t="s">
        <v>225</v>
      </c>
      <c r="D48" s="17" t="s">
        <v>80</v>
      </c>
      <c r="E48" s="11"/>
      <c r="F48" s="11">
        <v>1</v>
      </c>
      <c r="G48" s="11"/>
      <c r="H48" s="11"/>
      <c r="I48" s="11"/>
      <c r="J48" s="14">
        <f t="shared" si="0"/>
        <v>0.5</v>
      </c>
    </row>
    <row r="49" spans="1:10" ht="75" x14ac:dyDescent="0.25">
      <c r="A49" s="15">
        <v>45</v>
      </c>
      <c r="B49" s="16" t="s">
        <v>73</v>
      </c>
      <c r="C49" s="10" t="s">
        <v>81</v>
      </c>
      <c r="D49" s="17" t="s">
        <v>82</v>
      </c>
      <c r="E49" s="11">
        <v>1</v>
      </c>
      <c r="F49" s="11"/>
      <c r="G49" s="11"/>
      <c r="H49" s="11"/>
      <c r="I49" s="11"/>
      <c r="J49" s="14">
        <f t="shared" si="0"/>
        <v>1</v>
      </c>
    </row>
    <row r="50" spans="1:10" ht="75" x14ac:dyDescent="0.25">
      <c r="A50" s="15">
        <v>46</v>
      </c>
      <c r="B50" s="16" t="s">
        <v>73</v>
      </c>
      <c r="C50" s="10" t="s">
        <v>224</v>
      </c>
      <c r="D50" s="17" t="s">
        <v>83</v>
      </c>
      <c r="E50" s="11"/>
      <c r="F50" s="11"/>
      <c r="G50" s="11"/>
      <c r="H50" s="11">
        <v>1</v>
      </c>
      <c r="I50" s="11"/>
      <c r="J50" s="14">
        <f t="shared" si="0"/>
        <v>0</v>
      </c>
    </row>
    <row r="51" spans="1:10" ht="75" x14ac:dyDescent="0.25">
      <c r="A51" s="15">
        <v>47</v>
      </c>
      <c r="B51" s="16" t="s">
        <v>73</v>
      </c>
      <c r="C51" s="10" t="s">
        <v>223</v>
      </c>
      <c r="D51" s="17" t="s">
        <v>84</v>
      </c>
      <c r="E51" s="11"/>
      <c r="F51" s="11"/>
      <c r="G51" s="11"/>
      <c r="H51" s="11"/>
      <c r="I51" s="11">
        <v>1</v>
      </c>
      <c r="J51" s="14" t="str">
        <f t="shared" si="0"/>
        <v/>
      </c>
    </row>
    <row r="52" spans="1:10" ht="60" x14ac:dyDescent="0.25">
      <c r="A52" s="15">
        <v>48</v>
      </c>
      <c r="B52" s="16" t="s">
        <v>73</v>
      </c>
      <c r="C52" s="10" t="s">
        <v>85</v>
      </c>
      <c r="D52" s="17" t="s">
        <v>86</v>
      </c>
      <c r="E52" s="11"/>
      <c r="F52" s="11"/>
      <c r="G52" s="11"/>
      <c r="H52" s="11"/>
      <c r="I52" s="11">
        <v>1</v>
      </c>
      <c r="J52" s="14" t="str">
        <f t="shared" si="0"/>
        <v/>
      </c>
    </row>
    <row r="53" spans="1:10" ht="60" x14ac:dyDescent="0.25">
      <c r="A53" s="15">
        <v>49</v>
      </c>
      <c r="B53" s="16" t="s">
        <v>87</v>
      </c>
      <c r="C53" s="10" t="s">
        <v>222</v>
      </c>
      <c r="D53" s="17" t="s">
        <v>88</v>
      </c>
      <c r="E53" s="11"/>
      <c r="F53" s="11"/>
      <c r="G53" s="11"/>
      <c r="H53" s="11">
        <v>1</v>
      </c>
      <c r="I53" s="11"/>
      <c r="J53" s="14">
        <f t="shared" si="0"/>
        <v>0</v>
      </c>
    </row>
    <row r="54" spans="1:10" ht="135" x14ac:dyDescent="0.25">
      <c r="A54" s="15">
        <v>50</v>
      </c>
      <c r="B54" s="16" t="s">
        <v>87</v>
      </c>
      <c r="C54" s="10" t="s">
        <v>89</v>
      </c>
      <c r="D54" s="17" t="s">
        <v>90</v>
      </c>
      <c r="E54" s="11"/>
      <c r="F54" s="11"/>
      <c r="G54" s="11">
        <v>1</v>
      </c>
      <c r="H54" s="11"/>
      <c r="I54" s="11"/>
      <c r="J54" s="14">
        <f t="shared" si="0"/>
        <v>0.2</v>
      </c>
    </row>
    <row r="55" spans="1:10" ht="60" x14ac:dyDescent="0.25">
      <c r="A55" s="15">
        <v>51</v>
      </c>
      <c r="B55" s="16" t="s">
        <v>87</v>
      </c>
      <c r="C55" s="10" t="s">
        <v>91</v>
      </c>
      <c r="D55" s="17" t="s">
        <v>92</v>
      </c>
      <c r="E55" s="11"/>
      <c r="F55" s="11">
        <v>1</v>
      </c>
      <c r="G55" s="11"/>
      <c r="H55" s="11"/>
      <c r="I55" s="11"/>
      <c r="J55" s="14">
        <f t="shared" si="0"/>
        <v>0.5</v>
      </c>
    </row>
    <row r="56" spans="1:10" ht="180" x14ac:dyDescent="0.25">
      <c r="A56" s="15">
        <v>52</v>
      </c>
      <c r="B56" s="16" t="s">
        <v>87</v>
      </c>
      <c r="C56" s="10" t="s">
        <v>221</v>
      </c>
      <c r="D56" s="17" t="s">
        <v>93</v>
      </c>
      <c r="E56" s="11">
        <v>1</v>
      </c>
      <c r="F56" s="11"/>
      <c r="G56" s="11"/>
      <c r="H56" s="11"/>
      <c r="I56" s="11"/>
      <c r="J56" s="14">
        <f>IF(I56&lt;&gt;"", "", IF(E56&lt;&gt;"", 1, IF(F56&lt;&gt;"", 0.5, IF(G56&lt;&gt;"", 0.2, IF(H56&lt;&gt;"", 0, "")))))</f>
        <v>1</v>
      </c>
    </row>
    <row r="57" spans="1:10" ht="105" x14ac:dyDescent="0.25">
      <c r="A57" s="15">
        <v>53</v>
      </c>
      <c r="B57" s="16" t="s">
        <v>94</v>
      </c>
      <c r="C57" s="10" t="s">
        <v>220</v>
      </c>
      <c r="D57" s="17" t="s">
        <v>95</v>
      </c>
      <c r="E57" s="11"/>
      <c r="F57" s="11">
        <v>1</v>
      </c>
      <c r="G57" s="11"/>
      <c r="H57" s="11"/>
      <c r="I57" s="11"/>
      <c r="J57" s="14">
        <f t="shared" si="0"/>
        <v>0.5</v>
      </c>
    </row>
    <row r="58" spans="1:10" ht="75" x14ac:dyDescent="0.25">
      <c r="A58" s="15">
        <v>54</v>
      </c>
      <c r="B58" s="16" t="s">
        <v>94</v>
      </c>
      <c r="C58" s="10" t="s">
        <v>96</v>
      </c>
      <c r="D58" s="17" t="s">
        <v>97</v>
      </c>
      <c r="E58" s="11">
        <v>1</v>
      </c>
      <c r="F58" s="11"/>
      <c r="G58" s="11"/>
      <c r="H58" s="11"/>
      <c r="I58" s="11"/>
      <c r="J58" s="14">
        <f t="shared" si="0"/>
        <v>1</v>
      </c>
    </row>
    <row r="59" spans="1:10" ht="45" x14ac:dyDescent="0.25">
      <c r="A59" s="15">
        <v>55</v>
      </c>
      <c r="B59" s="16" t="s">
        <v>94</v>
      </c>
      <c r="C59" s="10" t="s">
        <v>219</v>
      </c>
      <c r="D59" s="17" t="s">
        <v>98</v>
      </c>
      <c r="E59" s="11"/>
      <c r="F59" s="11">
        <v>1</v>
      </c>
      <c r="G59" s="11"/>
      <c r="H59" s="11"/>
      <c r="I59" s="11"/>
      <c r="J59" s="14">
        <f t="shared" si="0"/>
        <v>0.5</v>
      </c>
    </row>
    <row r="60" spans="1:10" ht="75" x14ac:dyDescent="0.25">
      <c r="A60" s="15">
        <v>56</v>
      </c>
      <c r="B60" s="16" t="s">
        <v>94</v>
      </c>
      <c r="C60" s="10" t="s">
        <v>99</v>
      </c>
      <c r="D60" s="17" t="s">
        <v>100</v>
      </c>
      <c r="E60" s="11"/>
      <c r="F60" s="11">
        <v>1</v>
      </c>
      <c r="G60" s="11"/>
      <c r="H60" s="11"/>
      <c r="I60" s="11"/>
      <c r="J60" s="14">
        <f t="shared" si="0"/>
        <v>0.5</v>
      </c>
    </row>
    <row r="61" spans="1:10" ht="90" x14ac:dyDescent="0.25">
      <c r="A61" s="15">
        <v>57</v>
      </c>
      <c r="B61" s="16" t="s">
        <v>94</v>
      </c>
      <c r="C61" s="10" t="s">
        <v>218</v>
      </c>
      <c r="D61" s="17" t="s">
        <v>101</v>
      </c>
      <c r="E61" s="11">
        <v>1</v>
      </c>
      <c r="F61" s="11"/>
      <c r="G61" s="11"/>
      <c r="H61" s="11"/>
      <c r="I61" s="11"/>
      <c r="J61" s="14">
        <f t="shared" si="0"/>
        <v>1</v>
      </c>
    </row>
    <row r="62" spans="1:10" ht="90" x14ac:dyDescent="0.25">
      <c r="A62" s="15">
        <v>58</v>
      </c>
      <c r="B62" s="16" t="s">
        <v>94</v>
      </c>
      <c r="C62" s="10" t="s">
        <v>217</v>
      </c>
      <c r="D62" s="17" t="s">
        <v>102</v>
      </c>
      <c r="E62" s="11">
        <v>1</v>
      </c>
      <c r="F62" s="11"/>
      <c r="G62" s="11"/>
      <c r="H62" s="11"/>
      <c r="I62" s="11"/>
      <c r="J62" s="14">
        <f t="shared" si="0"/>
        <v>1</v>
      </c>
    </row>
    <row r="63" spans="1:10" ht="90" x14ac:dyDescent="0.25">
      <c r="A63" s="15">
        <v>59</v>
      </c>
      <c r="B63" s="16" t="s">
        <v>103</v>
      </c>
      <c r="C63" s="10" t="s">
        <v>216</v>
      </c>
      <c r="D63" s="17" t="s">
        <v>104</v>
      </c>
      <c r="E63" s="11">
        <v>1</v>
      </c>
      <c r="F63" s="11"/>
      <c r="G63" s="11"/>
      <c r="H63" s="11"/>
      <c r="I63" s="11"/>
      <c r="J63" s="14">
        <f t="shared" si="0"/>
        <v>1</v>
      </c>
    </row>
    <row r="64" spans="1:10" ht="105" x14ac:dyDescent="0.25">
      <c r="A64" s="15">
        <v>60</v>
      </c>
      <c r="B64" s="16" t="s">
        <v>103</v>
      </c>
      <c r="C64" s="10" t="s">
        <v>215</v>
      </c>
      <c r="D64" s="17" t="s">
        <v>105</v>
      </c>
      <c r="E64" s="11"/>
      <c r="F64" s="11">
        <v>1</v>
      </c>
      <c r="G64" s="11"/>
      <c r="H64" s="11"/>
      <c r="I64" s="11"/>
      <c r="J64" s="14">
        <f t="shared" si="0"/>
        <v>0.5</v>
      </c>
    </row>
    <row r="65" spans="1:10" ht="105" x14ac:dyDescent="0.25">
      <c r="A65" s="15">
        <v>61</v>
      </c>
      <c r="B65" s="16" t="s">
        <v>106</v>
      </c>
      <c r="C65" s="10" t="s">
        <v>214</v>
      </c>
      <c r="D65" s="17" t="s">
        <v>107</v>
      </c>
      <c r="E65" s="11">
        <v>1</v>
      </c>
      <c r="F65" s="11"/>
      <c r="G65" s="11"/>
      <c r="H65" s="11"/>
      <c r="I65" s="11"/>
      <c r="J65" s="14">
        <f t="shared" si="0"/>
        <v>1</v>
      </c>
    </row>
    <row r="66" spans="1:10" ht="60" x14ac:dyDescent="0.25">
      <c r="A66" s="15">
        <v>62</v>
      </c>
      <c r="B66" s="16" t="s">
        <v>106</v>
      </c>
      <c r="C66" s="10" t="s">
        <v>213</v>
      </c>
      <c r="D66" s="17" t="s">
        <v>108</v>
      </c>
      <c r="E66" s="11"/>
      <c r="F66" s="11">
        <v>1</v>
      </c>
      <c r="G66" s="11"/>
      <c r="H66" s="11"/>
      <c r="I66" s="11"/>
      <c r="J66" s="14">
        <f t="shared" si="0"/>
        <v>0.5</v>
      </c>
    </row>
    <row r="67" spans="1:10" ht="90" x14ac:dyDescent="0.25">
      <c r="A67" s="15">
        <v>63</v>
      </c>
      <c r="B67" s="16" t="s">
        <v>106</v>
      </c>
      <c r="C67" s="10" t="s">
        <v>212</v>
      </c>
      <c r="D67" s="17" t="s">
        <v>109</v>
      </c>
      <c r="E67" s="11"/>
      <c r="F67" s="11"/>
      <c r="G67" s="11">
        <v>1</v>
      </c>
      <c r="H67" s="11"/>
      <c r="I67" s="11"/>
      <c r="J67" s="14">
        <f t="shared" si="0"/>
        <v>0.2</v>
      </c>
    </row>
    <row r="68" spans="1:10" ht="45" x14ac:dyDescent="0.25">
      <c r="A68" s="15">
        <v>64</v>
      </c>
      <c r="B68" s="16" t="s">
        <v>106</v>
      </c>
      <c r="C68" s="10" t="s">
        <v>211</v>
      </c>
      <c r="D68" s="17" t="s">
        <v>110</v>
      </c>
      <c r="E68" s="11"/>
      <c r="F68" s="11"/>
      <c r="G68" s="11">
        <v>1</v>
      </c>
      <c r="H68" s="11"/>
      <c r="I68" s="11"/>
      <c r="J68" s="14">
        <f t="shared" si="0"/>
        <v>0.2</v>
      </c>
    </row>
    <row r="69" spans="1:10" ht="105" x14ac:dyDescent="0.25">
      <c r="A69" s="15">
        <v>65</v>
      </c>
      <c r="B69" s="16" t="s">
        <v>111</v>
      </c>
      <c r="C69" s="10" t="s">
        <v>210</v>
      </c>
      <c r="D69" s="17" t="s">
        <v>112</v>
      </c>
      <c r="E69" s="11"/>
      <c r="F69" s="11"/>
      <c r="G69" s="11">
        <v>1</v>
      </c>
      <c r="H69" s="11"/>
      <c r="I69" s="11"/>
      <c r="J69" s="14">
        <f t="shared" si="0"/>
        <v>0.2</v>
      </c>
    </row>
    <row r="70" spans="1:10" ht="60" x14ac:dyDescent="0.25">
      <c r="A70" s="15">
        <v>66</v>
      </c>
      <c r="B70" s="16" t="s">
        <v>111</v>
      </c>
      <c r="C70" s="10" t="s">
        <v>113</v>
      </c>
      <c r="D70" s="17" t="s">
        <v>114</v>
      </c>
      <c r="E70" s="11"/>
      <c r="F70" s="11">
        <v>1</v>
      </c>
      <c r="G70" s="11"/>
      <c r="H70" s="11"/>
      <c r="I70" s="11"/>
      <c r="J70" s="14">
        <f t="shared" ref="J70:J110" si="1">IF(I70&lt;&gt;"", "", IF(E70&lt;&gt;"", 1, IF(F70&lt;&gt;"", 0.5, IF(G70&lt;&gt;"", 0.2, IF(H70&lt;&gt;"", 0, "")))))</f>
        <v>0.5</v>
      </c>
    </row>
    <row r="71" spans="1:10" ht="90" x14ac:dyDescent="0.25">
      <c r="A71" s="15">
        <v>67</v>
      </c>
      <c r="B71" s="16" t="s">
        <v>111</v>
      </c>
      <c r="C71" s="10" t="s">
        <v>115</v>
      </c>
      <c r="D71" s="17" t="s">
        <v>116</v>
      </c>
      <c r="E71" s="11"/>
      <c r="F71" s="11">
        <v>1</v>
      </c>
      <c r="G71" s="11"/>
      <c r="H71" s="11"/>
      <c r="I71" s="11"/>
      <c r="J71" s="14">
        <f t="shared" si="1"/>
        <v>0.5</v>
      </c>
    </row>
    <row r="72" spans="1:10" ht="60" x14ac:dyDescent="0.25">
      <c r="A72" s="15">
        <v>68</v>
      </c>
      <c r="B72" s="16" t="s">
        <v>111</v>
      </c>
      <c r="C72" s="10" t="s">
        <v>209</v>
      </c>
      <c r="D72" s="17" t="s">
        <v>117</v>
      </c>
      <c r="E72" s="11">
        <v>1</v>
      </c>
      <c r="F72" s="11"/>
      <c r="G72" s="11"/>
      <c r="H72" s="11"/>
      <c r="I72" s="11"/>
      <c r="J72" s="14">
        <f t="shared" si="1"/>
        <v>1</v>
      </c>
    </row>
    <row r="73" spans="1:10" ht="75" x14ac:dyDescent="0.25">
      <c r="A73" s="15">
        <v>69</v>
      </c>
      <c r="B73" s="16" t="s">
        <v>111</v>
      </c>
      <c r="C73" s="10" t="s">
        <v>208</v>
      </c>
      <c r="D73" s="17" t="s">
        <v>118</v>
      </c>
      <c r="E73" s="11">
        <v>1</v>
      </c>
      <c r="F73" s="11"/>
      <c r="G73" s="11"/>
      <c r="H73" s="11"/>
      <c r="I73" s="11"/>
      <c r="J73" s="14">
        <f t="shared" si="1"/>
        <v>1</v>
      </c>
    </row>
    <row r="74" spans="1:10" ht="75" x14ac:dyDescent="0.25">
      <c r="A74" s="15">
        <v>70</v>
      </c>
      <c r="B74" s="16" t="s">
        <v>111</v>
      </c>
      <c r="C74" s="10" t="s">
        <v>119</v>
      </c>
      <c r="D74" s="17" t="s">
        <v>120</v>
      </c>
      <c r="E74" s="11"/>
      <c r="F74" s="11">
        <v>1</v>
      </c>
      <c r="G74" s="11"/>
      <c r="H74" s="11"/>
      <c r="I74" s="11"/>
      <c r="J74" s="14">
        <f t="shared" si="1"/>
        <v>0.5</v>
      </c>
    </row>
    <row r="75" spans="1:10" ht="90" x14ac:dyDescent="0.25">
      <c r="A75" s="15">
        <v>71</v>
      </c>
      <c r="B75" s="16" t="s">
        <v>121</v>
      </c>
      <c r="C75" s="10" t="s">
        <v>207</v>
      </c>
      <c r="D75" s="17" t="s">
        <v>122</v>
      </c>
      <c r="E75" s="11"/>
      <c r="F75" s="11"/>
      <c r="G75" s="11">
        <v>1</v>
      </c>
      <c r="H75" s="11"/>
      <c r="I75" s="11"/>
      <c r="J75" s="14">
        <f t="shared" si="1"/>
        <v>0.2</v>
      </c>
    </row>
    <row r="76" spans="1:10" ht="75" x14ac:dyDescent="0.25">
      <c r="A76" s="15">
        <v>72</v>
      </c>
      <c r="B76" s="16" t="s">
        <v>121</v>
      </c>
      <c r="C76" s="10" t="s">
        <v>123</v>
      </c>
      <c r="D76" s="17" t="s">
        <v>124</v>
      </c>
      <c r="E76" s="11"/>
      <c r="F76" s="11"/>
      <c r="G76" s="11"/>
      <c r="H76" s="11">
        <v>1</v>
      </c>
      <c r="I76" s="11"/>
      <c r="J76" s="14">
        <f t="shared" si="1"/>
        <v>0</v>
      </c>
    </row>
    <row r="77" spans="1:10" ht="90" x14ac:dyDescent="0.25">
      <c r="A77" s="15">
        <v>73</v>
      </c>
      <c r="B77" s="16" t="s">
        <v>121</v>
      </c>
      <c r="C77" s="10" t="s">
        <v>206</v>
      </c>
      <c r="D77" s="17" t="s">
        <v>125</v>
      </c>
      <c r="E77" s="11"/>
      <c r="F77" s="11"/>
      <c r="G77" s="11"/>
      <c r="H77" s="11"/>
      <c r="I77" s="11">
        <v>1</v>
      </c>
      <c r="J77" s="14" t="str">
        <f t="shared" si="1"/>
        <v/>
      </c>
    </row>
    <row r="78" spans="1:10" ht="75" x14ac:dyDescent="0.25">
      <c r="A78" s="15">
        <v>74</v>
      </c>
      <c r="B78" s="16" t="s">
        <v>121</v>
      </c>
      <c r="C78" s="10" t="s">
        <v>126</v>
      </c>
      <c r="D78" s="17" t="s">
        <v>127</v>
      </c>
      <c r="E78" s="11"/>
      <c r="F78" s="11"/>
      <c r="G78" s="11"/>
      <c r="H78" s="11">
        <v>1</v>
      </c>
      <c r="I78" s="11"/>
      <c r="J78" s="14">
        <f t="shared" si="1"/>
        <v>0</v>
      </c>
    </row>
    <row r="79" spans="1:10" ht="45" x14ac:dyDescent="0.25">
      <c r="A79" s="15">
        <v>75</v>
      </c>
      <c r="B79" s="16" t="s">
        <v>128</v>
      </c>
      <c r="C79" s="10" t="s">
        <v>205</v>
      </c>
      <c r="D79" s="17" t="s">
        <v>129</v>
      </c>
      <c r="E79" s="11"/>
      <c r="F79" s="11"/>
      <c r="G79" s="11"/>
      <c r="H79" s="11">
        <v>1</v>
      </c>
      <c r="I79" s="11"/>
      <c r="J79" s="14">
        <f t="shared" si="1"/>
        <v>0</v>
      </c>
    </row>
    <row r="80" spans="1:10" ht="90" x14ac:dyDescent="0.25">
      <c r="A80" s="15">
        <v>76</v>
      </c>
      <c r="B80" s="16" t="s">
        <v>128</v>
      </c>
      <c r="C80" s="10" t="s">
        <v>130</v>
      </c>
      <c r="D80" s="17" t="s">
        <v>131</v>
      </c>
      <c r="E80" s="11"/>
      <c r="F80" s="11"/>
      <c r="G80" s="11">
        <v>1</v>
      </c>
      <c r="H80" s="11"/>
      <c r="I80" s="11"/>
      <c r="J80" s="14">
        <f t="shared" si="1"/>
        <v>0.2</v>
      </c>
    </row>
    <row r="81" spans="1:10" ht="75" x14ac:dyDescent="0.25">
      <c r="A81" s="15">
        <v>77</v>
      </c>
      <c r="B81" s="16" t="s">
        <v>128</v>
      </c>
      <c r="C81" s="10" t="s">
        <v>203</v>
      </c>
      <c r="D81" s="17" t="s">
        <v>132</v>
      </c>
      <c r="E81" s="11"/>
      <c r="F81" s="11"/>
      <c r="G81" s="11">
        <v>1</v>
      </c>
      <c r="H81" s="11"/>
      <c r="I81" s="11"/>
      <c r="J81" s="14">
        <f t="shared" si="1"/>
        <v>0.2</v>
      </c>
    </row>
    <row r="82" spans="1:10" ht="75" x14ac:dyDescent="0.25">
      <c r="A82" s="15">
        <v>78</v>
      </c>
      <c r="B82" s="16" t="s">
        <v>128</v>
      </c>
      <c r="C82" s="10" t="s">
        <v>204</v>
      </c>
      <c r="D82" s="17" t="s">
        <v>133</v>
      </c>
      <c r="E82" s="11"/>
      <c r="F82" s="11">
        <v>1</v>
      </c>
      <c r="G82" s="11"/>
      <c r="H82" s="11"/>
      <c r="I82" s="11"/>
      <c r="J82" s="14">
        <f t="shared" si="1"/>
        <v>0.5</v>
      </c>
    </row>
    <row r="83" spans="1:10" ht="105" x14ac:dyDescent="0.25">
      <c r="A83" s="15">
        <v>79</v>
      </c>
      <c r="B83" s="16" t="s">
        <v>128</v>
      </c>
      <c r="C83" s="10" t="s">
        <v>202</v>
      </c>
      <c r="D83" s="17" t="s">
        <v>134</v>
      </c>
      <c r="E83" s="11">
        <v>1</v>
      </c>
      <c r="F83" s="11"/>
      <c r="G83" s="11"/>
      <c r="H83" s="11"/>
      <c r="I83" s="11"/>
      <c r="J83" s="14">
        <f t="shared" si="1"/>
        <v>1</v>
      </c>
    </row>
    <row r="84" spans="1:10" ht="90" x14ac:dyDescent="0.25">
      <c r="A84" s="15">
        <v>80</v>
      </c>
      <c r="B84" s="16" t="s">
        <v>135</v>
      </c>
      <c r="C84" s="10" t="s">
        <v>201</v>
      </c>
      <c r="D84" s="17" t="s">
        <v>136</v>
      </c>
      <c r="E84" s="11">
        <v>1</v>
      </c>
      <c r="F84" s="11"/>
      <c r="G84" s="11"/>
      <c r="H84" s="11"/>
      <c r="I84" s="11"/>
      <c r="J84" s="14">
        <f t="shared" si="1"/>
        <v>1</v>
      </c>
    </row>
    <row r="85" spans="1:10" ht="60" x14ac:dyDescent="0.25">
      <c r="A85" s="15">
        <v>81</v>
      </c>
      <c r="B85" s="16" t="s">
        <v>135</v>
      </c>
      <c r="C85" s="10" t="s">
        <v>137</v>
      </c>
      <c r="D85" s="17" t="s">
        <v>138</v>
      </c>
      <c r="E85" s="11">
        <v>1</v>
      </c>
      <c r="F85" s="11"/>
      <c r="G85" s="11"/>
      <c r="H85" s="11"/>
      <c r="I85" s="11"/>
      <c r="J85" s="14">
        <f t="shared" si="1"/>
        <v>1</v>
      </c>
    </row>
    <row r="86" spans="1:10" ht="60" x14ac:dyDescent="0.25">
      <c r="A86" s="15">
        <v>82</v>
      </c>
      <c r="B86" s="16" t="s">
        <v>135</v>
      </c>
      <c r="C86" s="10" t="s">
        <v>139</v>
      </c>
      <c r="D86" s="17" t="s">
        <v>140</v>
      </c>
      <c r="E86" s="11"/>
      <c r="F86" s="11">
        <v>1</v>
      </c>
      <c r="G86" s="11"/>
      <c r="H86" s="11"/>
      <c r="I86" s="11"/>
      <c r="J86" s="14">
        <f t="shared" si="1"/>
        <v>0.5</v>
      </c>
    </row>
    <row r="87" spans="1:10" ht="105" x14ac:dyDescent="0.25">
      <c r="A87" s="15">
        <v>83</v>
      </c>
      <c r="B87" s="16" t="s">
        <v>135</v>
      </c>
      <c r="C87" s="10" t="s">
        <v>200</v>
      </c>
      <c r="D87" s="17" t="s">
        <v>141</v>
      </c>
      <c r="E87" s="11">
        <v>1</v>
      </c>
      <c r="F87" s="11"/>
      <c r="G87" s="11"/>
      <c r="H87" s="11"/>
      <c r="I87" s="11"/>
      <c r="J87" s="14">
        <f t="shared" si="1"/>
        <v>1</v>
      </c>
    </row>
    <row r="88" spans="1:10" ht="60" x14ac:dyDescent="0.25">
      <c r="A88" s="15">
        <v>84</v>
      </c>
      <c r="B88" s="16" t="s">
        <v>135</v>
      </c>
      <c r="C88" s="10" t="s">
        <v>199</v>
      </c>
      <c r="D88" s="17" t="s">
        <v>142</v>
      </c>
      <c r="E88" s="11"/>
      <c r="F88" s="11"/>
      <c r="G88" s="11">
        <v>1</v>
      </c>
      <c r="H88" s="11"/>
      <c r="I88" s="11"/>
      <c r="J88" s="14">
        <f t="shared" si="1"/>
        <v>0.2</v>
      </c>
    </row>
    <row r="89" spans="1:10" ht="60" x14ac:dyDescent="0.25">
      <c r="A89" s="15">
        <v>85</v>
      </c>
      <c r="B89" s="16" t="s">
        <v>135</v>
      </c>
      <c r="C89" s="10" t="s">
        <v>143</v>
      </c>
      <c r="D89" s="17" t="s">
        <v>144</v>
      </c>
      <c r="E89" s="11"/>
      <c r="F89" s="11"/>
      <c r="G89" s="11"/>
      <c r="H89" s="11">
        <v>1</v>
      </c>
      <c r="I89" s="11"/>
      <c r="J89" s="14">
        <f t="shared" si="1"/>
        <v>0</v>
      </c>
    </row>
    <row r="90" spans="1:10" ht="75" x14ac:dyDescent="0.25">
      <c r="A90" s="15">
        <v>86</v>
      </c>
      <c r="B90" s="16" t="s">
        <v>145</v>
      </c>
      <c r="C90" s="10" t="s">
        <v>198</v>
      </c>
      <c r="D90" s="17" t="s">
        <v>146</v>
      </c>
      <c r="E90" s="11"/>
      <c r="F90" s="11"/>
      <c r="G90" s="11"/>
      <c r="H90" s="11"/>
      <c r="I90" s="11">
        <v>1</v>
      </c>
      <c r="J90" s="14" t="str">
        <f t="shared" si="1"/>
        <v/>
      </c>
    </row>
    <row r="91" spans="1:10" ht="75" x14ac:dyDescent="0.25">
      <c r="A91" s="15">
        <v>87</v>
      </c>
      <c r="B91" s="16" t="s">
        <v>145</v>
      </c>
      <c r="C91" s="10" t="s">
        <v>147</v>
      </c>
      <c r="D91" s="17" t="s">
        <v>148</v>
      </c>
      <c r="E91" s="11"/>
      <c r="F91" s="11"/>
      <c r="G91" s="11"/>
      <c r="H91" s="11">
        <v>1</v>
      </c>
      <c r="I91" s="11"/>
      <c r="J91" s="14">
        <f t="shared" si="1"/>
        <v>0</v>
      </c>
    </row>
    <row r="92" spans="1:10" ht="75" x14ac:dyDescent="0.25">
      <c r="A92" s="15">
        <v>88</v>
      </c>
      <c r="B92" s="16" t="s">
        <v>145</v>
      </c>
      <c r="C92" s="10" t="s">
        <v>197</v>
      </c>
      <c r="D92" s="17" t="s">
        <v>149</v>
      </c>
      <c r="E92" s="11"/>
      <c r="F92" s="11"/>
      <c r="G92" s="11">
        <v>1</v>
      </c>
      <c r="H92" s="11"/>
      <c r="I92" s="11"/>
      <c r="J92" s="14">
        <f t="shared" si="1"/>
        <v>0.2</v>
      </c>
    </row>
    <row r="93" spans="1:10" ht="45" x14ac:dyDescent="0.25">
      <c r="A93" s="15">
        <v>89</v>
      </c>
      <c r="B93" s="16" t="s">
        <v>145</v>
      </c>
      <c r="C93" s="10" t="s">
        <v>150</v>
      </c>
      <c r="D93" s="17" t="s">
        <v>151</v>
      </c>
      <c r="E93" s="11"/>
      <c r="F93" s="11">
        <v>1</v>
      </c>
      <c r="G93" s="11"/>
      <c r="H93" s="11"/>
      <c r="I93" s="11"/>
      <c r="J93" s="14">
        <f t="shared" si="1"/>
        <v>0.5</v>
      </c>
    </row>
    <row r="94" spans="1:10" ht="90" x14ac:dyDescent="0.25">
      <c r="A94" s="15">
        <v>90</v>
      </c>
      <c r="B94" s="16" t="s">
        <v>145</v>
      </c>
      <c r="C94" s="10" t="s">
        <v>152</v>
      </c>
      <c r="D94" s="17" t="s">
        <v>153</v>
      </c>
      <c r="E94" s="11">
        <v>1</v>
      </c>
      <c r="F94" s="11"/>
      <c r="G94" s="11"/>
      <c r="H94" s="11"/>
      <c r="I94" s="11"/>
      <c r="J94" s="14">
        <f t="shared" si="1"/>
        <v>1</v>
      </c>
    </row>
    <row r="95" spans="1:10" ht="105" x14ac:dyDescent="0.25">
      <c r="A95" s="15">
        <v>91</v>
      </c>
      <c r="B95" s="16" t="s">
        <v>154</v>
      </c>
      <c r="C95" s="10" t="s">
        <v>196</v>
      </c>
      <c r="D95" s="17" t="s">
        <v>155</v>
      </c>
      <c r="E95" s="11">
        <v>1</v>
      </c>
      <c r="F95" s="11"/>
      <c r="G95" s="11"/>
      <c r="H95" s="11"/>
      <c r="I95" s="11"/>
      <c r="J95" s="14">
        <f t="shared" si="1"/>
        <v>1</v>
      </c>
    </row>
    <row r="96" spans="1:10" ht="135" x14ac:dyDescent="0.25">
      <c r="A96" s="15">
        <v>92</v>
      </c>
      <c r="B96" s="16" t="s">
        <v>154</v>
      </c>
      <c r="C96" s="10" t="s">
        <v>189</v>
      </c>
      <c r="D96" s="17" t="s">
        <v>156</v>
      </c>
      <c r="E96" s="11"/>
      <c r="F96" s="11">
        <v>1</v>
      </c>
      <c r="G96" s="11"/>
      <c r="H96" s="11"/>
      <c r="I96" s="11"/>
      <c r="J96" s="14">
        <f t="shared" si="1"/>
        <v>0.5</v>
      </c>
    </row>
    <row r="97" spans="1:10" ht="90" x14ac:dyDescent="0.25">
      <c r="A97" s="15">
        <v>93</v>
      </c>
      <c r="B97" s="16" t="s">
        <v>154</v>
      </c>
      <c r="C97" s="10" t="s">
        <v>188</v>
      </c>
      <c r="D97" s="17" t="s">
        <v>157</v>
      </c>
      <c r="E97" s="11">
        <v>1</v>
      </c>
      <c r="F97" s="11"/>
      <c r="G97" s="11"/>
      <c r="H97" s="11"/>
      <c r="I97" s="11"/>
      <c r="J97" s="14">
        <f t="shared" si="1"/>
        <v>1</v>
      </c>
    </row>
    <row r="98" spans="1:10" ht="45" x14ac:dyDescent="0.25">
      <c r="A98" s="15">
        <v>94</v>
      </c>
      <c r="B98" s="16" t="s">
        <v>154</v>
      </c>
      <c r="C98" s="10" t="s">
        <v>158</v>
      </c>
      <c r="D98" s="17" t="s">
        <v>159</v>
      </c>
      <c r="E98" s="11"/>
      <c r="F98" s="11">
        <v>1</v>
      </c>
      <c r="G98" s="11"/>
      <c r="H98" s="11"/>
      <c r="I98" s="11"/>
      <c r="J98" s="14">
        <f t="shared" si="1"/>
        <v>0.5</v>
      </c>
    </row>
    <row r="99" spans="1:10" ht="75" x14ac:dyDescent="0.25">
      <c r="A99" s="15">
        <v>95</v>
      </c>
      <c r="B99" s="16" t="s">
        <v>160</v>
      </c>
      <c r="C99" s="10" t="s">
        <v>185</v>
      </c>
      <c r="D99" s="17" t="s">
        <v>161</v>
      </c>
      <c r="E99" s="11">
        <v>1</v>
      </c>
      <c r="F99" s="11"/>
      <c r="G99" s="11"/>
      <c r="H99" s="11"/>
      <c r="I99" s="11"/>
      <c r="J99" s="14">
        <f t="shared" si="1"/>
        <v>1</v>
      </c>
    </row>
    <row r="100" spans="1:10" ht="60" x14ac:dyDescent="0.25">
      <c r="A100" s="15">
        <v>96</v>
      </c>
      <c r="B100" s="16" t="s">
        <v>160</v>
      </c>
      <c r="C100" s="10" t="s">
        <v>186</v>
      </c>
      <c r="D100" s="17" t="s">
        <v>162</v>
      </c>
      <c r="E100" s="11"/>
      <c r="F100" s="11">
        <v>1</v>
      </c>
      <c r="G100" s="11"/>
      <c r="H100" s="11"/>
      <c r="I100" s="11"/>
      <c r="J100" s="14">
        <f t="shared" si="1"/>
        <v>0.5</v>
      </c>
    </row>
    <row r="101" spans="1:10" ht="120" x14ac:dyDescent="0.25">
      <c r="A101" s="15">
        <v>97</v>
      </c>
      <c r="B101" s="16" t="s">
        <v>163</v>
      </c>
      <c r="C101" s="10" t="s">
        <v>187</v>
      </c>
      <c r="D101" s="17" t="s">
        <v>164</v>
      </c>
      <c r="E101" s="11"/>
      <c r="F101" s="11"/>
      <c r="G101" s="11">
        <v>1</v>
      </c>
      <c r="H101" s="11"/>
      <c r="I101" s="11"/>
      <c r="J101" s="14">
        <f t="shared" si="1"/>
        <v>0.2</v>
      </c>
    </row>
    <row r="102" spans="1:10" ht="105" x14ac:dyDescent="0.25">
      <c r="A102" s="15">
        <v>98</v>
      </c>
      <c r="B102" s="16" t="s">
        <v>163</v>
      </c>
      <c r="C102" s="10" t="s">
        <v>184</v>
      </c>
      <c r="D102" s="17" t="s">
        <v>165</v>
      </c>
      <c r="E102" s="11"/>
      <c r="F102" s="11"/>
      <c r="G102" s="11"/>
      <c r="H102" s="11">
        <v>1</v>
      </c>
      <c r="I102" s="11"/>
      <c r="J102" s="14">
        <f t="shared" si="1"/>
        <v>0</v>
      </c>
    </row>
    <row r="103" spans="1:10" ht="105" x14ac:dyDescent="0.25">
      <c r="A103" s="15">
        <v>99</v>
      </c>
      <c r="B103" s="16" t="s">
        <v>166</v>
      </c>
      <c r="C103" s="10" t="s">
        <v>181</v>
      </c>
      <c r="D103" s="17" t="s">
        <v>167</v>
      </c>
      <c r="E103" s="11"/>
      <c r="F103" s="11"/>
      <c r="G103" s="11"/>
      <c r="H103" s="11"/>
      <c r="I103" s="11">
        <v>1</v>
      </c>
      <c r="J103" s="14" t="str">
        <f t="shared" si="1"/>
        <v/>
      </c>
    </row>
    <row r="104" spans="1:10" ht="60" x14ac:dyDescent="0.25">
      <c r="A104" s="15">
        <v>100</v>
      </c>
      <c r="B104" s="16" t="s">
        <v>166</v>
      </c>
      <c r="C104" s="10" t="s">
        <v>182</v>
      </c>
      <c r="D104" s="17" t="s">
        <v>168</v>
      </c>
      <c r="E104" s="11"/>
      <c r="F104" s="11"/>
      <c r="G104" s="11"/>
      <c r="H104" s="11">
        <v>1</v>
      </c>
      <c r="I104" s="11"/>
      <c r="J104" s="14">
        <f t="shared" si="1"/>
        <v>0</v>
      </c>
    </row>
    <row r="105" spans="1:10" ht="60" x14ac:dyDescent="0.25">
      <c r="A105" s="15">
        <v>101</v>
      </c>
      <c r="B105" s="16" t="s">
        <v>166</v>
      </c>
      <c r="C105" s="10" t="s">
        <v>183</v>
      </c>
      <c r="D105" s="17" t="s">
        <v>169</v>
      </c>
      <c r="E105" s="11"/>
      <c r="F105" s="11"/>
      <c r="G105" s="11">
        <v>1</v>
      </c>
      <c r="H105" s="11"/>
      <c r="I105" s="11"/>
      <c r="J105" s="14">
        <f t="shared" si="1"/>
        <v>0.2</v>
      </c>
    </row>
    <row r="106" spans="1:10" ht="75" x14ac:dyDescent="0.25">
      <c r="A106" s="15">
        <v>102</v>
      </c>
      <c r="B106" s="16" t="s">
        <v>166</v>
      </c>
      <c r="C106" s="10" t="s">
        <v>170</v>
      </c>
      <c r="D106" s="17" t="s">
        <v>171</v>
      </c>
      <c r="E106" s="11"/>
      <c r="F106" s="11">
        <v>1</v>
      </c>
      <c r="G106" s="11"/>
      <c r="H106" s="11"/>
      <c r="I106" s="11"/>
      <c r="J106" s="14">
        <f t="shared" si="1"/>
        <v>0.5</v>
      </c>
    </row>
    <row r="107" spans="1:10" ht="60" x14ac:dyDescent="0.25">
      <c r="A107" s="15">
        <v>103</v>
      </c>
      <c r="B107" s="16" t="s">
        <v>166</v>
      </c>
      <c r="C107" s="10" t="s">
        <v>180</v>
      </c>
      <c r="D107" s="17" t="s">
        <v>172</v>
      </c>
      <c r="E107" s="11">
        <v>1</v>
      </c>
      <c r="F107" s="11"/>
      <c r="G107" s="11"/>
      <c r="H107" s="11"/>
      <c r="I107" s="11"/>
      <c r="J107" s="14">
        <f t="shared" si="1"/>
        <v>1</v>
      </c>
    </row>
    <row r="108" spans="1:10" ht="75" x14ac:dyDescent="0.25">
      <c r="A108" s="15">
        <v>104</v>
      </c>
      <c r="B108" s="16" t="s">
        <v>166</v>
      </c>
      <c r="C108" s="10" t="s">
        <v>173</v>
      </c>
      <c r="D108" s="17" t="s">
        <v>174</v>
      </c>
      <c r="E108" s="11">
        <v>1</v>
      </c>
      <c r="F108" s="11"/>
      <c r="G108" s="11"/>
      <c r="H108" s="11"/>
      <c r="I108" s="11"/>
      <c r="J108" s="14">
        <f t="shared" si="1"/>
        <v>1</v>
      </c>
    </row>
    <row r="109" spans="1:10" ht="90" x14ac:dyDescent="0.25">
      <c r="A109" s="15">
        <v>105</v>
      </c>
      <c r="B109" s="16" t="s">
        <v>175</v>
      </c>
      <c r="C109" s="10" t="s">
        <v>178</v>
      </c>
      <c r="D109" s="17" t="s">
        <v>176</v>
      </c>
      <c r="E109" s="11">
        <v>1</v>
      </c>
      <c r="F109" s="11"/>
      <c r="G109" s="11"/>
      <c r="H109" s="11"/>
      <c r="I109" s="11"/>
      <c r="J109" s="14">
        <f t="shared" si="1"/>
        <v>1</v>
      </c>
    </row>
    <row r="110" spans="1:10" ht="165" x14ac:dyDescent="0.25">
      <c r="A110" s="15">
        <v>106</v>
      </c>
      <c r="B110" s="16" t="s">
        <v>175</v>
      </c>
      <c r="C110" s="10" t="s">
        <v>179</v>
      </c>
      <c r="D110" s="17" t="s">
        <v>177</v>
      </c>
      <c r="E110" s="11"/>
      <c r="F110" s="11"/>
      <c r="G110" s="11">
        <v>1</v>
      </c>
      <c r="H110" s="11"/>
      <c r="I110" s="11"/>
      <c r="J110" s="14">
        <f t="shared" si="1"/>
        <v>0.2</v>
      </c>
    </row>
  </sheetData>
  <mergeCells count="6">
    <mergeCell ref="A3:A4"/>
    <mergeCell ref="B3:B4"/>
    <mergeCell ref="C3:C4"/>
    <mergeCell ref="D3:D4"/>
    <mergeCell ref="E3:I3"/>
    <mergeCell ref="J3:J4"/>
  </mergeCells>
  <conditionalFormatting sqref="E5:I110">
    <cfRule type="expression" dxfId="7" priority="1">
      <formula>AND(E5&lt;&gt;"", COUNTIF($E5:$I5, "&lt;&gt;")&gt;1)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9"/>
  <sheetViews>
    <sheetView tabSelected="1" workbookViewId="0">
      <selection activeCell="G1" sqref="G1"/>
    </sheetView>
  </sheetViews>
  <sheetFormatPr defaultRowHeight="15" x14ac:dyDescent="0.25"/>
  <cols>
    <col min="1" max="1" width="4.5703125" customWidth="1"/>
    <col min="2" max="3" width="40.7109375" style="18" customWidth="1"/>
    <col min="4" max="8" width="15.7109375" customWidth="1"/>
  </cols>
  <sheetData>
    <row r="3" spans="1:8" ht="15" customHeight="1" x14ac:dyDescent="0.25">
      <c r="A3" s="19" t="s">
        <v>0</v>
      </c>
      <c r="B3" s="19" t="s">
        <v>1</v>
      </c>
      <c r="C3" s="20" t="s">
        <v>245</v>
      </c>
      <c r="D3" s="21" t="s">
        <v>4</v>
      </c>
      <c r="E3" s="21"/>
      <c r="F3" s="21"/>
      <c r="G3" s="21"/>
      <c r="H3" s="19" t="s">
        <v>5</v>
      </c>
    </row>
    <row r="4" spans="1:8" ht="85.5" customHeight="1" x14ac:dyDescent="0.25">
      <c r="A4" s="22"/>
      <c r="B4" s="22"/>
      <c r="C4" s="23"/>
      <c r="D4" s="24" t="s">
        <v>246</v>
      </c>
      <c r="E4" s="24" t="s">
        <v>247</v>
      </c>
      <c r="F4" s="24" t="s">
        <v>248</v>
      </c>
      <c r="G4" s="24" t="s">
        <v>249</v>
      </c>
      <c r="H4" s="22"/>
    </row>
    <row r="5" spans="1:8" ht="45" x14ac:dyDescent="0.25">
      <c r="A5" s="25">
        <v>1</v>
      </c>
      <c r="B5" s="26" t="s">
        <v>250</v>
      </c>
      <c r="C5" s="27" t="s">
        <v>251</v>
      </c>
      <c r="D5" s="28">
        <v>1</v>
      </c>
      <c r="E5" s="28"/>
      <c r="F5" s="28"/>
      <c r="G5" s="28"/>
      <c r="H5" s="29">
        <f>IF(G5&lt;&gt;"", "", IF(D5&lt;&gt;"", 1, IF(E5&lt;&gt;"", 0.5, IF(F5&lt;&gt;"", 0.2,))))</f>
        <v>1</v>
      </c>
    </row>
    <row r="6" spans="1:8" ht="45" x14ac:dyDescent="0.25">
      <c r="A6" s="30">
        <v>2</v>
      </c>
      <c r="B6" s="31"/>
      <c r="C6" s="27" t="s">
        <v>252</v>
      </c>
      <c r="D6" s="28"/>
      <c r="E6" s="28">
        <v>1</v>
      </c>
      <c r="F6" s="28"/>
      <c r="G6" s="28"/>
      <c r="H6" s="29">
        <f t="shared" ref="H6:H14" si="0">IF(G6&lt;&gt;"", "", IF(D6&lt;&gt;"", 1, IF(E6&lt;&gt;"", 0.5, IF(F6&lt;&gt;"", 0.2,))))</f>
        <v>0.5</v>
      </c>
    </row>
    <row r="7" spans="1:8" ht="45" x14ac:dyDescent="0.25">
      <c r="A7" s="25">
        <v>3</v>
      </c>
      <c r="B7" s="32"/>
      <c r="C7" s="27" t="s">
        <v>253</v>
      </c>
      <c r="D7" s="28">
        <v>1</v>
      </c>
      <c r="E7" s="28"/>
      <c r="F7" s="28"/>
      <c r="G7" s="28"/>
      <c r="H7" s="29">
        <f t="shared" si="0"/>
        <v>1</v>
      </c>
    </row>
    <row r="8" spans="1:8" ht="90" x14ac:dyDescent="0.25">
      <c r="A8" s="30">
        <v>4</v>
      </c>
      <c r="B8" s="33" t="s">
        <v>254</v>
      </c>
      <c r="C8" s="34" t="s">
        <v>255</v>
      </c>
      <c r="D8" s="28">
        <v>1</v>
      </c>
      <c r="E8" s="28"/>
      <c r="F8" s="28"/>
      <c r="G8" s="28"/>
      <c r="H8" s="29">
        <f t="shared" si="0"/>
        <v>1</v>
      </c>
    </row>
    <row r="9" spans="1:8" ht="105" x14ac:dyDescent="0.25">
      <c r="A9" s="25">
        <v>5</v>
      </c>
      <c r="B9" s="35"/>
      <c r="C9" s="27" t="s">
        <v>256</v>
      </c>
      <c r="D9" s="28"/>
      <c r="E9" s="28"/>
      <c r="F9" s="28">
        <v>1</v>
      </c>
      <c r="G9" s="28"/>
      <c r="H9" s="29">
        <f t="shared" si="0"/>
        <v>0.2</v>
      </c>
    </row>
    <row r="10" spans="1:8" x14ac:dyDescent="0.25">
      <c r="A10" s="30">
        <v>6</v>
      </c>
      <c r="B10" s="33" t="s">
        <v>257</v>
      </c>
      <c r="C10" s="27" t="s">
        <v>258</v>
      </c>
      <c r="D10" s="28"/>
      <c r="E10" s="28">
        <v>1</v>
      </c>
      <c r="F10" s="28"/>
      <c r="G10" s="28"/>
      <c r="H10" s="29">
        <f t="shared" si="0"/>
        <v>0.5</v>
      </c>
    </row>
    <row r="11" spans="1:8" ht="30" x14ac:dyDescent="0.25">
      <c r="A11" s="25">
        <v>7</v>
      </c>
      <c r="B11" s="35"/>
      <c r="C11" s="27" t="s">
        <v>259</v>
      </c>
      <c r="D11" s="28">
        <v>1</v>
      </c>
      <c r="E11" s="28"/>
      <c r="F11" s="28"/>
      <c r="G11" s="28"/>
      <c r="H11" s="29">
        <f t="shared" si="0"/>
        <v>1</v>
      </c>
    </row>
    <row r="12" spans="1:8" ht="45" x14ac:dyDescent="0.25">
      <c r="A12" s="30">
        <v>8</v>
      </c>
      <c r="B12" s="33" t="s">
        <v>260</v>
      </c>
      <c r="C12" s="27" t="s">
        <v>261</v>
      </c>
      <c r="D12" s="28"/>
      <c r="E12" s="28">
        <v>1</v>
      </c>
      <c r="F12" s="28"/>
      <c r="G12" s="28"/>
      <c r="H12" s="29">
        <f t="shared" si="0"/>
        <v>0.5</v>
      </c>
    </row>
    <row r="13" spans="1:8" ht="60" x14ac:dyDescent="0.25">
      <c r="A13" s="25">
        <v>9</v>
      </c>
      <c r="B13" s="35"/>
      <c r="C13" s="27" t="s">
        <v>262</v>
      </c>
      <c r="D13" s="28"/>
      <c r="E13" s="28"/>
      <c r="F13" s="28">
        <v>1</v>
      </c>
      <c r="G13" s="28"/>
      <c r="H13" s="29">
        <f t="shared" si="0"/>
        <v>0.2</v>
      </c>
    </row>
    <row r="14" spans="1:8" ht="150" x14ac:dyDescent="0.25">
      <c r="A14" s="30">
        <v>10</v>
      </c>
      <c r="B14" s="33" t="s">
        <v>263</v>
      </c>
      <c r="C14" s="36" t="s">
        <v>264</v>
      </c>
      <c r="D14" s="28">
        <v>1</v>
      </c>
      <c r="E14" s="28"/>
      <c r="F14" s="28"/>
      <c r="G14" s="28"/>
      <c r="H14" s="29">
        <f t="shared" si="0"/>
        <v>1</v>
      </c>
    </row>
    <row r="15" spans="1:8" ht="60" x14ac:dyDescent="0.25">
      <c r="A15" s="25">
        <v>11</v>
      </c>
      <c r="B15" s="35"/>
      <c r="C15" s="27" t="s">
        <v>265</v>
      </c>
      <c r="D15" s="28"/>
      <c r="E15" s="28"/>
      <c r="F15" s="28"/>
      <c r="G15" s="28">
        <v>1</v>
      </c>
      <c r="H15" s="29" t="str">
        <f>IF(G15&lt;&gt;"", "", IF(D15&lt;&gt;"", 1, IF(E15&lt;&gt;"", 0.5, IF(F15&lt;&gt;"", 0.2,))))</f>
        <v/>
      </c>
    </row>
    <row r="16" spans="1:8" ht="45" x14ac:dyDescent="0.25">
      <c r="A16" s="30">
        <v>12</v>
      </c>
      <c r="B16" s="33" t="s">
        <v>266</v>
      </c>
      <c r="C16" s="27" t="s">
        <v>267</v>
      </c>
      <c r="D16" s="28">
        <v>1</v>
      </c>
      <c r="E16" s="28"/>
      <c r="F16" s="28"/>
      <c r="G16" s="28"/>
      <c r="H16" s="29">
        <f t="shared" ref="H16:H18" si="1">IF(G16&lt;&gt;"", "", IF(D16&lt;&gt;"", 1, IF(E16&lt;&gt;"", 0.5, IF(F16&lt;&gt;"", 0.2,))))</f>
        <v>1</v>
      </c>
    </row>
    <row r="17" spans="1:8" ht="75" x14ac:dyDescent="0.25">
      <c r="A17" s="25">
        <v>13</v>
      </c>
      <c r="B17" s="37"/>
      <c r="C17" s="36" t="s">
        <v>268</v>
      </c>
      <c r="D17" s="28">
        <v>1</v>
      </c>
      <c r="E17" s="28"/>
      <c r="F17" s="28"/>
      <c r="G17" s="28"/>
      <c r="H17" s="29">
        <f t="shared" si="1"/>
        <v>1</v>
      </c>
    </row>
    <row r="18" spans="1:8" ht="75" x14ac:dyDescent="0.25">
      <c r="A18" s="30">
        <v>14</v>
      </c>
      <c r="B18" s="37"/>
      <c r="C18" s="27" t="s">
        <v>269</v>
      </c>
      <c r="D18" s="28">
        <v>1</v>
      </c>
      <c r="E18" s="28"/>
      <c r="F18" s="28"/>
      <c r="G18" s="28"/>
      <c r="H18" s="29">
        <f t="shared" si="1"/>
        <v>1</v>
      </c>
    </row>
    <row r="19" spans="1:8" ht="60" x14ac:dyDescent="0.25">
      <c r="A19" s="25">
        <v>15</v>
      </c>
      <c r="B19" s="35"/>
      <c r="C19" s="27" t="s">
        <v>270</v>
      </c>
      <c r="D19" s="28">
        <v>1</v>
      </c>
      <c r="E19" s="28"/>
      <c r="F19" s="28"/>
      <c r="G19" s="28"/>
      <c r="H19" s="29">
        <f>IF(G19&lt;&gt;"", "", IF(D19&lt;&gt;"", 1, IF(E19&lt;&gt;"", 0.5, IF(F19&lt;&gt;"", 0.2,))))</f>
        <v>1</v>
      </c>
    </row>
  </sheetData>
  <mergeCells count="11">
    <mergeCell ref="B5:B7"/>
    <mergeCell ref="B8:B9"/>
    <mergeCell ref="B10:B11"/>
    <mergeCell ref="B12:B13"/>
    <mergeCell ref="B14:B15"/>
    <mergeCell ref="B16:B19"/>
    <mergeCell ref="A3:A4"/>
    <mergeCell ref="B3:B4"/>
    <mergeCell ref="C3:C4"/>
    <mergeCell ref="D3:G3"/>
    <mergeCell ref="H3:H4"/>
  </mergeCells>
  <conditionalFormatting sqref="D5:G19">
    <cfRule type="expression" dxfId="6" priority="1">
      <formula>AND(D5&lt;&gt;"", COUNTIF($D5:$G5, "&lt;&gt;")&gt;1)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Виконання базових заходів</vt:lpstr>
      <vt:lpstr>Виконання вимог законодавства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2026-04-26T16:53:11Z</dcterms:modified>
</cp:coreProperties>
</file>